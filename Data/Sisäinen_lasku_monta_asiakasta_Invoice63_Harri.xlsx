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ad.helsinki.fi\home\e\efazeli\Documents\GitHub\Open_IRIS_tools\Data\"/>
    </mc:Choice>
  </mc:AlternateContent>
  <xr:revisionPtr revIDLastSave="0" documentId="13_ncr:1_{1C36F13D-218B-46E5-B146-33AC00B19F7C}" xr6:coauthVersionLast="47" xr6:coauthVersionMax="47" xr10:uidLastSave="{00000000-0000-0000-0000-000000000000}"/>
  <bookViews>
    <workbookView xWindow="19110" yWindow="0" windowWidth="9780" windowHeight="10470" xr2:uid="{00000000-000D-0000-FFFF-FFFF00000000}"/>
  </bookViews>
  <sheets>
    <sheet name="Sisäinen lasku, monta asiakas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158" i="1" l="1"/>
  <c r="BE158" i="1" s="1"/>
  <c r="AQ158" i="1"/>
  <c r="AQ157" i="1"/>
  <c r="AV157" i="1" s="1"/>
  <c r="BE157" i="1" s="1"/>
  <c r="AQ156" i="1"/>
  <c r="AV156" i="1" s="1"/>
  <c r="BE156" i="1" s="1"/>
  <c r="AQ155" i="1"/>
  <c r="AV155" i="1" s="1"/>
  <c r="BE155" i="1" s="1"/>
  <c r="AQ154" i="1"/>
  <c r="AV154" i="1" s="1"/>
  <c r="BE154" i="1" s="1"/>
  <c r="AQ153" i="1"/>
  <c r="AV153" i="1" s="1"/>
  <c r="BE153" i="1" s="1"/>
  <c r="AQ152" i="1"/>
  <c r="AV152" i="1" s="1"/>
  <c r="BE152" i="1" s="1"/>
  <c r="AQ151" i="1"/>
  <c r="AV151" i="1" s="1"/>
  <c r="BE151" i="1" s="1"/>
  <c r="AQ150" i="1"/>
  <c r="AV150" i="1" s="1"/>
  <c r="BE150" i="1" s="1"/>
  <c r="AQ149" i="1"/>
  <c r="AV149" i="1" s="1"/>
  <c r="BE149" i="1" s="1"/>
  <c r="AQ148" i="1"/>
  <c r="AV148" i="1" s="1"/>
  <c r="BE148" i="1" s="1"/>
  <c r="AQ147" i="1"/>
  <c r="AV147" i="1" s="1"/>
  <c r="BE147" i="1" s="1"/>
  <c r="AQ146" i="1"/>
  <c r="AV146" i="1" s="1"/>
  <c r="BE146" i="1" s="1"/>
  <c r="AQ145" i="1"/>
  <c r="AV145" i="1" s="1"/>
  <c r="BE145" i="1" s="1"/>
  <c r="AV144" i="1"/>
  <c r="BE144" i="1" s="1"/>
  <c r="AQ144" i="1"/>
  <c r="AV143" i="1"/>
  <c r="BE143" i="1" s="1"/>
  <c r="AQ143" i="1"/>
  <c r="AV142" i="1"/>
  <c r="BE142" i="1" s="1"/>
  <c r="AQ142" i="1"/>
  <c r="AQ141" i="1"/>
  <c r="AV141" i="1" s="1"/>
  <c r="BE141" i="1" s="1"/>
  <c r="AV140" i="1"/>
  <c r="BE140" i="1" s="1"/>
  <c r="AQ140" i="1"/>
  <c r="BE139" i="1"/>
  <c r="AV139" i="1"/>
  <c r="AQ139" i="1"/>
  <c r="AQ138" i="1"/>
  <c r="AV138" i="1" s="1"/>
  <c r="BE138" i="1" s="1"/>
  <c r="AQ137" i="1"/>
  <c r="AV137" i="1" s="1"/>
  <c r="BE137" i="1" s="1"/>
  <c r="AV136" i="1"/>
  <c r="BE136" i="1" s="1"/>
  <c r="AQ136" i="1"/>
  <c r="AQ135" i="1"/>
  <c r="AV135" i="1" s="1"/>
  <c r="BE135" i="1" s="1"/>
  <c r="AQ134" i="1"/>
  <c r="AV134" i="1" s="1"/>
  <c r="BE134" i="1" s="1"/>
  <c r="AQ133" i="1"/>
  <c r="AV133" i="1" s="1"/>
  <c r="BE133" i="1" s="1"/>
  <c r="AQ132" i="1"/>
  <c r="AV132" i="1" s="1"/>
  <c r="BE132" i="1" s="1"/>
  <c r="AQ131" i="1"/>
  <c r="AV131" i="1" s="1"/>
  <c r="BE131" i="1" s="1"/>
  <c r="AV130" i="1"/>
  <c r="BE130" i="1" s="1"/>
  <c r="AQ130" i="1"/>
  <c r="AV129" i="1"/>
  <c r="BE129" i="1" s="1"/>
  <c r="AQ129" i="1"/>
  <c r="AV128" i="1"/>
  <c r="BE128" i="1" s="1"/>
  <c r="AQ128" i="1"/>
  <c r="AQ127" i="1"/>
  <c r="AV127" i="1" s="1"/>
  <c r="BE127" i="1" s="1"/>
  <c r="AV126" i="1"/>
  <c r="BE126" i="1" s="1"/>
  <c r="AQ126" i="1"/>
  <c r="BE125" i="1"/>
  <c r="AV125" i="1"/>
  <c r="AQ125" i="1"/>
  <c r="AQ124" i="1"/>
  <c r="AV124" i="1" s="1"/>
  <c r="BE124" i="1" s="1"/>
  <c r="AQ123" i="1"/>
  <c r="AV123" i="1" s="1"/>
  <c r="BE123" i="1" s="1"/>
  <c r="AV122" i="1"/>
  <c r="BE122" i="1" s="1"/>
  <c r="AQ122" i="1"/>
  <c r="AQ121" i="1"/>
  <c r="AV121" i="1" s="1"/>
  <c r="BE121" i="1" s="1"/>
  <c r="AQ120" i="1"/>
  <c r="AV120" i="1" s="1"/>
  <c r="BE120" i="1" s="1"/>
  <c r="AQ119" i="1"/>
  <c r="AV119" i="1" s="1"/>
  <c r="BE119" i="1" s="1"/>
  <c r="AQ118" i="1"/>
  <c r="AV118" i="1" s="1"/>
  <c r="BE118" i="1" s="1"/>
  <c r="AQ117" i="1"/>
  <c r="AV117" i="1" s="1"/>
  <c r="BE117" i="1" s="1"/>
  <c r="AV116" i="1"/>
  <c r="BE116" i="1" s="1"/>
  <c r="AQ116" i="1"/>
  <c r="AV115" i="1"/>
  <c r="BE115" i="1" s="1"/>
  <c r="AQ115" i="1"/>
  <c r="AV114" i="1"/>
  <c r="BE114" i="1" s="1"/>
  <c r="AQ114" i="1"/>
  <c r="AQ113" i="1"/>
  <c r="AV113" i="1" s="1"/>
  <c r="BE113" i="1" s="1"/>
  <c r="AV112" i="1"/>
  <c r="BE112" i="1" s="1"/>
  <c r="AQ112" i="1"/>
  <c r="BE111" i="1"/>
  <c r="AV111" i="1"/>
  <c r="AQ111" i="1"/>
  <c r="AQ110" i="1"/>
  <c r="AV110" i="1" s="1"/>
  <c r="BE110" i="1" s="1"/>
  <c r="AQ109" i="1"/>
  <c r="AV109" i="1" s="1"/>
  <c r="BE109" i="1" s="1"/>
  <c r="AV108" i="1"/>
  <c r="BE108" i="1" s="1"/>
  <c r="AQ108" i="1"/>
  <c r="AQ107" i="1"/>
  <c r="AV107" i="1" s="1"/>
  <c r="BE107" i="1" s="1"/>
  <c r="AQ106" i="1"/>
  <c r="AV106" i="1" s="1"/>
  <c r="BE106" i="1" s="1"/>
  <c r="AQ105" i="1"/>
  <c r="AV105" i="1" s="1"/>
  <c r="BE105" i="1" s="1"/>
  <c r="AQ104" i="1"/>
  <c r="AV104" i="1" s="1"/>
  <c r="BE104" i="1" s="1"/>
  <c r="AQ103" i="1"/>
  <c r="AV103" i="1" s="1"/>
  <c r="BE103" i="1" s="1"/>
  <c r="AV102" i="1"/>
  <c r="BE102" i="1" s="1"/>
  <c r="AQ102" i="1"/>
  <c r="AV101" i="1"/>
  <c r="BE101" i="1" s="1"/>
  <c r="AQ101" i="1"/>
  <c r="AV100" i="1"/>
  <c r="BE100" i="1" s="1"/>
  <c r="AQ100" i="1"/>
  <c r="AQ99" i="1"/>
  <c r="AV99" i="1" s="1"/>
  <c r="BE99" i="1" s="1"/>
  <c r="AV98" i="1"/>
  <c r="BE98" i="1" s="1"/>
  <c r="AQ98" i="1"/>
  <c r="BE97" i="1"/>
  <c r="AV97" i="1"/>
  <c r="AQ97" i="1"/>
  <c r="AQ96" i="1"/>
  <c r="AV96" i="1" s="1"/>
  <c r="BE96" i="1" s="1"/>
  <c r="AQ95" i="1"/>
  <c r="AV95" i="1" s="1"/>
  <c r="BE95" i="1" s="1"/>
  <c r="AV94" i="1"/>
  <c r="BE94" i="1" s="1"/>
  <c r="AQ94" i="1"/>
  <c r="AQ93" i="1"/>
  <c r="AV93" i="1" s="1"/>
  <c r="BE93" i="1" s="1"/>
  <c r="AQ92" i="1"/>
  <c r="AV92" i="1" s="1"/>
  <c r="BE92" i="1" s="1"/>
  <c r="AQ91" i="1"/>
  <c r="AV91" i="1" s="1"/>
  <c r="BE91" i="1" s="1"/>
  <c r="AQ90" i="1"/>
  <c r="AV90" i="1" s="1"/>
  <c r="BE90" i="1" s="1"/>
  <c r="AQ89" i="1"/>
  <c r="AV89" i="1" s="1"/>
  <c r="BE89" i="1" s="1"/>
  <c r="AV88" i="1"/>
  <c r="BE88" i="1" s="1"/>
  <c r="AQ88" i="1"/>
  <c r="AQ87" i="1"/>
  <c r="AV87" i="1" s="1"/>
  <c r="BE87" i="1" s="1"/>
  <c r="AV86" i="1"/>
  <c r="BE86" i="1" s="1"/>
  <c r="AQ86" i="1"/>
  <c r="AQ85" i="1"/>
  <c r="AV85" i="1" s="1"/>
  <c r="BE85" i="1" s="1"/>
  <c r="AV84" i="1"/>
  <c r="BE84" i="1" s="1"/>
  <c r="AQ84" i="1"/>
  <c r="BE83" i="1"/>
  <c r="AV83" i="1"/>
  <c r="AQ83" i="1"/>
  <c r="AQ82" i="1"/>
  <c r="AV82" i="1" s="1"/>
  <c r="BE82" i="1" s="1"/>
  <c r="AQ81" i="1"/>
  <c r="AV81" i="1" s="1"/>
  <c r="BE81" i="1" s="1"/>
  <c r="AV80" i="1"/>
  <c r="BE80" i="1" s="1"/>
  <c r="AQ80" i="1"/>
  <c r="AQ79" i="1"/>
  <c r="AV79" i="1" s="1"/>
  <c r="BE79" i="1" s="1"/>
  <c r="AQ78" i="1"/>
  <c r="AV78" i="1" s="1"/>
  <c r="BE78" i="1" s="1"/>
  <c r="AQ77" i="1"/>
  <c r="AV77" i="1" s="1"/>
  <c r="BE77" i="1" s="1"/>
  <c r="AQ76" i="1"/>
  <c r="AV76" i="1" s="1"/>
  <c r="BE76" i="1" s="1"/>
  <c r="AQ75" i="1"/>
  <c r="AV75" i="1" s="1"/>
  <c r="BE75" i="1" s="1"/>
  <c r="AV74" i="1"/>
  <c r="BE74" i="1" s="1"/>
  <c r="AQ74" i="1"/>
  <c r="AQ73" i="1"/>
  <c r="AV73" i="1" s="1"/>
  <c r="BE73" i="1" s="1"/>
  <c r="AV72" i="1"/>
  <c r="BE72" i="1" s="1"/>
  <c r="AQ72" i="1"/>
  <c r="AQ71" i="1"/>
  <c r="AV71" i="1" s="1"/>
  <c r="BE71" i="1" s="1"/>
  <c r="AV70" i="1"/>
  <c r="BE70" i="1" s="1"/>
  <c r="AQ70" i="1"/>
  <c r="BE69" i="1"/>
  <c r="AV69" i="1"/>
  <c r="AQ69" i="1"/>
  <c r="AQ68" i="1"/>
  <c r="AV68" i="1" s="1"/>
  <c r="BE68" i="1" s="1"/>
  <c r="AQ67" i="1"/>
  <c r="AV67" i="1" s="1"/>
  <c r="BE67" i="1" s="1"/>
  <c r="AV66" i="1"/>
  <c r="BE66" i="1" s="1"/>
  <c r="AQ66" i="1"/>
  <c r="AQ65" i="1"/>
  <c r="AV65" i="1" s="1"/>
  <c r="BE65" i="1" s="1"/>
  <c r="AQ64" i="1"/>
  <c r="AV64" i="1" s="1"/>
  <c r="BE64" i="1" s="1"/>
  <c r="AQ63" i="1"/>
  <c r="AV63" i="1" s="1"/>
  <c r="BE63" i="1" s="1"/>
  <c r="AQ62" i="1"/>
  <c r="AV62" i="1" s="1"/>
  <c r="BE62" i="1" s="1"/>
  <c r="AQ61" i="1"/>
  <c r="AV61" i="1" s="1"/>
  <c r="BE61" i="1" s="1"/>
  <c r="AV60" i="1"/>
  <c r="BE60" i="1" s="1"/>
  <c r="AQ60" i="1"/>
  <c r="AQ59" i="1"/>
  <c r="AV59" i="1" s="1"/>
  <c r="BE59" i="1" s="1"/>
  <c r="AV58" i="1"/>
  <c r="BE58" i="1" s="1"/>
  <c r="AQ58" i="1"/>
  <c r="AQ57" i="1"/>
  <c r="AV57" i="1" s="1"/>
  <c r="BE57" i="1" s="1"/>
  <c r="AV56" i="1"/>
  <c r="BE56" i="1" s="1"/>
  <c r="AQ56" i="1"/>
  <c r="BE55" i="1"/>
  <c r="AV55" i="1"/>
  <c r="AQ55" i="1"/>
  <c r="AQ54" i="1"/>
  <c r="AV54" i="1" s="1"/>
  <c r="BE54" i="1" s="1"/>
  <c r="AQ53" i="1"/>
  <c r="AV53" i="1" s="1"/>
  <c r="BE53" i="1" s="1"/>
  <c r="AV52" i="1"/>
  <c r="BE52" i="1" s="1"/>
  <c r="AQ52" i="1"/>
  <c r="AQ51" i="1"/>
  <c r="AV51" i="1" s="1"/>
  <c r="BE51" i="1" s="1"/>
  <c r="AQ50" i="1"/>
  <c r="AV50" i="1" s="1"/>
  <c r="BE50" i="1" s="1"/>
  <c r="AQ49" i="1"/>
  <c r="AV49" i="1" s="1"/>
  <c r="BE49" i="1" s="1"/>
  <c r="AQ48" i="1"/>
  <c r="AV48" i="1" s="1"/>
  <c r="BE48" i="1" s="1"/>
  <c r="AQ47" i="1"/>
  <c r="AV47" i="1" s="1"/>
  <c r="BE47" i="1" s="1"/>
  <c r="AV46" i="1"/>
  <c r="BE46" i="1" s="1"/>
  <c r="AQ46" i="1"/>
  <c r="AQ45" i="1"/>
  <c r="AV45" i="1" s="1"/>
  <c r="BE45" i="1" s="1"/>
  <c r="AV44" i="1"/>
  <c r="BE44" i="1" s="1"/>
  <c r="AQ44" i="1"/>
  <c r="AQ43" i="1"/>
  <c r="AV43" i="1" s="1"/>
  <c r="BE43" i="1" s="1"/>
  <c r="AV42" i="1"/>
  <c r="BE42" i="1" s="1"/>
  <c r="AQ42" i="1"/>
  <c r="BE41" i="1"/>
  <c r="AV41" i="1"/>
  <c r="AQ41" i="1"/>
  <c r="AQ40" i="1"/>
  <c r="AV40" i="1" s="1"/>
  <c r="BE40" i="1" s="1"/>
  <c r="AQ39" i="1"/>
  <c r="AV39" i="1" s="1"/>
  <c r="BE39" i="1" s="1"/>
  <c r="AV38" i="1"/>
  <c r="BE38" i="1" s="1"/>
  <c r="AQ38" i="1"/>
  <c r="AQ37" i="1"/>
  <c r="AV37" i="1" s="1"/>
  <c r="BE37" i="1" s="1"/>
  <c r="AQ36" i="1"/>
  <c r="AV36" i="1" s="1"/>
  <c r="BE36" i="1" s="1"/>
  <c r="AQ35" i="1"/>
  <c r="AV35" i="1" s="1"/>
  <c r="BE35" i="1" s="1"/>
  <c r="AQ34" i="1"/>
  <c r="AV34" i="1" s="1"/>
  <c r="BE34" i="1" s="1"/>
  <c r="AQ33" i="1"/>
  <c r="AV33" i="1" s="1"/>
  <c r="BE33" i="1" s="1"/>
  <c r="AV32" i="1"/>
  <c r="BE32" i="1" s="1"/>
  <c r="AQ32" i="1"/>
  <c r="AQ31" i="1"/>
  <c r="AV31" i="1" s="1"/>
  <c r="BE31" i="1" s="1"/>
  <c r="AV30" i="1"/>
  <c r="BE30" i="1" s="1"/>
  <c r="AQ30" i="1"/>
  <c r="AQ29" i="1"/>
  <c r="AV29" i="1" s="1"/>
  <c r="BE29" i="1" s="1"/>
  <c r="AV28" i="1"/>
  <c r="BE28" i="1" s="1"/>
  <c r="AQ28" i="1"/>
  <c r="BE27" i="1"/>
  <c r="AV27" i="1"/>
  <c r="AQ27" i="1"/>
  <c r="AQ26" i="1"/>
  <c r="AV26" i="1" s="1"/>
  <c r="BE26" i="1" s="1"/>
  <c r="AQ25" i="1"/>
  <c r="AV25" i="1" s="1"/>
  <c r="BE25" i="1" s="1"/>
  <c r="AV24" i="1"/>
  <c r="BE24" i="1" s="1"/>
  <c r="AQ24" i="1"/>
  <c r="AQ23" i="1"/>
  <c r="AV23" i="1" s="1"/>
  <c r="BE23" i="1" s="1"/>
  <c r="AQ22" i="1"/>
  <c r="AV22" i="1" s="1"/>
  <c r="BE22" i="1" s="1"/>
  <c r="AQ21" i="1"/>
  <c r="AV21" i="1" s="1"/>
  <c r="BE21" i="1" s="1"/>
  <c r="AQ20" i="1"/>
  <c r="AV20" i="1" s="1"/>
  <c r="BE20" i="1" s="1"/>
  <c r="AQ19" i="1"/>
  <c r="AV19" i="1" s="1"/>
  <c r="BE19" i="1" s="1"/>
  <c r="AV18" i="1"/>
  <c r="BE18" i="1" s="1"/>
  <c r="AQ18" i="1"/>
  <c r="AQ17" i="1"/>
  <c r="AV17" i="1" s="1"/>
  <c r="BE17" i="1" s="1"/>
  <c r="AV16" i="1"/>
  <c r="BE16" i="1" s="1"/>
  <c r="AQ16" i="1"/>
  <c r="AQ15" i="1"/>
  <c r="AV15" i="1" s="1"/>
  <c r="BE15" i="1" s="1"/>
  <c r="AV14" i="1"/>
  <c r="BE14" i="1" s="1"/>
  <c r="AQ14" i="1"/>
  <c r="BE13" i="1"/>
  <c r="AV13" i="1"/>
  <c r="AQ13" i="1"/>
  <c r="AQ12" i="1"/>
  <c r="AV12" i="1" s="1"/>
  <c r="BE12" i="1" s="1"/>
  <c r="AQ11" i="1"/>
  <c r="AV11" i="1" s="1"/>
  <c r="BE11" i="1" s="1"/>
  <c r="AV10" i="1"/>
  <c r="BE10" i="1" s="1"/>
  <c r="AQ10" i="1"/>
  <c r="AQ9" i="1"/>
  <c r="AV9" i="1" s="1"/>
  <c r="BE9" i="1" s="1"/>
</calcChain>
</file>

<file path=xl/sharedStrings.xml><?xml version="1.0" encoding="utf-8"?>
<sst xmlns="http://schemas.openxmlformats.org/spreadsheetml/2006/main" count="983" uniqueCount="459">
  <si>
    <t>Sisäisen laskutuksen lomake (ohjelmistorobotille)</t>
  </si>
  <si>
    <t>1. Laskuttava yksikkö</t>
  </si>
  <si>
    <t>2. Laskutettavat palvelut ja tuotteet (yleisellä tasolla)</t>
  </si>
  <si>
    <t>3. Maksaja</t>
  </si>
  <si>
    <t>4. Tuote- ja palvelutiedot, yksityikohdat</t>
  </si>
  <si>
    <t>5. Tulon tiliöinti</t>
  </si>
  <si>
    <t>Huomaa merkkimäärärajoite 39 merkkiä</t>
  </si>
  <si>
    <t>Yleensä kaikki tulot laskua kohti tuloutetaan yhdelle WBS-numerolle.</t>
  </si>
  <si>
    <t>Siniset ja punaiset solut ovat välttämättömiä laskun luomiseen.</t>
  </si>
  <si>
    <t>00000000001111111111222222222233333333</t>
  </si>
  <si>
    <t>Tarvittaessa voit kohdistaa usealle.</t>
  </si>
  <si>
    <t>Vihreällä värillä merkityt ovat vapaaehtoisia täyttää.</t>
  </si>
  <si>
    <t>Laskutettavat palvelut tai tuotteet:</t>
  </si>
  <si>
    <t>Laskutettavat palvelut tai tuotteet, ajankohta:</t>
  </si>
  <si>
    <t>Kirjauspäivämäärä 
(On tärkeä tieto erityisesti kuun vaihteessa.)</t>
  </si>
  <si>
    <t>Maksavan yksikön tulosyksikkö- koodi:</t>
  </si>
  <si>
    <t>Maksajan nimi (tutkimusryhmä/ vastuuhenkilö/ projekti):</t>
  </si>
  <si>
    <t>Maksajan yhteyshenkilö (tilaaja/palvelun käyttäjä):</t>
  </si>
  <si>
    <t>Maksu-WBS:</t>
  </si>
  <si>
    <t>Lisätiedot:</t>
  </si>
  <si>
    <t>Sisältääkö liitteen? Jos sisältää, kirjoita liitteen nimi riville alle, esim. Maksaja_1 (päätettä ei tarvitse sisällyttää). Jos liitteitä on useita, erota ne pilkulla.</t>
  </si>
  <si>
    <t>tuote 1</t>
  </si>
  <si>
    <t>tuote 2</t>
  </si>
  <si>
    <t>tuote 3</t>
  </si>
  <si>
    <t>tuote 4</t>
  </si>
  <si>
    <t>tuote 5</t>
  </si>
  <si>
    <t>tuote 6</t>
  </si>
  <si>
    <t>tuote 7</t>
  </si>
  <si>
    <t>tuote 8</t>
  </si>
  <si>
    <t>tuote 9</t>
  </si>
  <si>
    <t>tuote 10</t>
  </si>
  <si>
    <t>tuote 11</t>
  </si>
  <si>
    <t>tuote 12</t>
  </si>
  <si>
    <t>tuote 13</t>
  </si>
  <si>
    <t>tuote 14</t>
  </si>
  <si>
    <t>tuote 15</t>
  </si>
  <si>
    <t>tuote 16</t>
  </si>
  <si>
    <t>tuote 17</t>
  </si>
  <si>
    <t>tuote 18</t>
  </si>
  <si>
    <t>tuote 19</t>
  </si>
  <si>
    <t>tuote 20</t>
  </si>
  <si>
    <t>tuote 21</t>
  </si>
  <si>
    <t>tuote 22</t>
  </si>
  <si>
    <t>tuote 23</t>
  </si>
  <si>
    <t>tuote 24</t>
  </si>
  <si>
    <t>tuote 25</t>
  </si>
  <si>
    <t>Yhteensä</t>
  </si>
  <si>
    <t>Pääkirjatili</t>
  </si>
  <si>
    <t>WBS 1</t>
  </si>
  <si>
    <t>Euroa 1</t>
  </si>
  <si>
    <t>WBS 2</t>
  </si>
  <si>
    <t>Euroa 2</t>
  </si>
  <si>
    <t>WBS 3</t>
  </si>
  <si>
    <t>Euroa 3</t>
  </si>
  <si>
    <t>WBS 4</t>
  </si>
  <si>
    <t>Euroa 4</t>
  </si>
  <si>
    <t>WBS 5</t>
  </si>
  <si>
    <t>Euroa 5</t>
  </si>
  <si>
    <t>Yksikköhinta -&gt;</t>
  </si>
  <si>
    <t>Laskuttavan yksikön tulosyksikkökoodi:</t>
  </si>
  <si>
    <t>Maksaja 1</t>
  </si>
  <si>
    <t>H3453</t>
  </si>
  <si>
    <t>Aitta-aho Teemu</t>
  </si>
  <si>
    <t>teemu.aitta-aho@helsinki.fi</t>
  </si>
  <si>
    <t>4706265</t>
  </si>
  <si>
    <t>Maksaja 1: määrä -&gt;</t>
  </si>
  <si>
    <t>Aitta-aho Teemu 4706265.xlsx</t>
  </si>
  <si>
    <t>H919</t>
  </si>
  <si>
    <t>Maksaja 2</t>
  </si>
  <si>
    <t>H945</t>
  </si>
  <si>
    <t>Aittokallio Tero</t>
  </si>
  <si>
    <t xml:space="preserve">mitro.miihkinen@helsinki.fi; </t>
  </si>
  <si>
    <t>4707081</t>
  </si>
  <si>
    <t>Aittokallio Tero 4707081.xlsx</t>
  </si>
  <si>
    <t>s</t>
  </si>
  <si>
    <t>Laskuttavan yksikön nimi:</t>
  </si>
  <si>
    <t>Maksaja 3</t>
  </si>
  <si>
    <t>H3714</t>
  </si>
  <si>
    <t>Al-Samadi Ahmed</t>
  </si>
  <si>
    <t>ahmed.al-samadi@helsinki.fi</t>
  </si>
  <si>
    <t>1354512</t>
  </si>
  <si>
    <t>Al-Samadi Ahmed 1354512.xlsx</t>
  </si>
  <si>
    <t>Light Microscopy Unit</t>
  </si>
  <si>
    <t>Maksaja 4</t>
  </si>
  <si>
    <t>H3042</t>
  </si>
  <si>
    <t>Alitalo Kari</t>
  </si>
  <si>
    <t xml:space="preserve">alitalo-office@helsinki.fi; saija.piiroinen@helsinki.fi; </t>
  </si>
  <si>
    <t>4720536</t>
  </si>
  <si>
    <t>Alitalo Kari 4720536.xlsx</t>
  </si>
  <si>
    <t>Laskuttavan yksikön osoite:</t>
  </si>
  <si>
    <t>Maksaja 5</t>
  </si>
  <si>
    <t>Andressoo Jaan-Olle</t>
  </si>
  <si>
    <t>jaan-olle.andressoo@helsinki.fi</t>
  </si>
  <si>
    <t>1350678</t>
  </si>
  <si>
    <t>Andressoo Jaan-Olle 1350678.xlsx</t>
  </si>
  <si>
    <t>Viikinkaari 5</t>
  </si>
  <si>
    <t>Maksaja 6</t>
  </si>
  <si>
    <t>H916</t>
  </si>
  <si>
    <t>Antila Hanna</t>
  </si>
  <si>
    <t>hanna.antila@helsinki.fi</t>
  </si>
  <si>
    <t>1356491</t>
  </si>
  <si>
    <t>Antila Hanna 1356491.xlsx</t>
  </si>
  <si>
    <t>Laskuttavan yksikön yhteyshenkilö:</t>
  </si>
  <si>
    <t>Maksaja 7</t>
  </si>
  <si>
    <t>H3041</t>
  </si>
  <si>
    <t>Balboa Diego</t>
  </si>
  <si>
    <t>diego.balboa@helsinki.fi</t>
  </si>
  <si>
    <t>4707313</t>
  </si>
  <si>
    <t>Balboa Diego 4707313.xlsx</t>
  </si>
  <si>
    <t>Mika Molin</t>
  </si>
  <si>
    <t>Maksaja 8</t>
  </si>
  <si>
    <t>H3455</t>
  </si>
  <si>
    <t>Barboric Matjaz</t>
  </si>
  <si>
    <t xml:space="preserve">monika.macakova@helsinki.fi; </t>
  </si>
  <si>
    <t>1361495</t>
  </si>
  <si>
    <t>Barboric Matjaz 1361495.xlsx</t>
  </si>
  <si>
    <t>Maksaja 9</t>
  </si>
  <si>
    <t>H3710</t>
  </si>
  <si>
    <t>Barreto Goncalo</t>
  </si>
  <si>
    <t>goncalo.barreto@helsinki.fi</t>
  </si>
  <si>
    <t>4100580</t>
  </si>
  <si>
    <t>Barreto Goncalo 4100580.xlsx</t>
  </si>
  <si>
    <t>Maksaja 10</t>
  </si>
  <si>
    <t>H3452</t>
  </si>
  <si>
    <t>Bäck Nils</t>
  </si>
  <si>
    <t>nils.back@helsinki.fi</t>
  </si>
  <si>
    <t>4709839</t>
  </si>
  <si>
    <t>Bäck Nils 4709839.xlsx</t>
  </si>
  <si>
    <t>Maksaja 11</t>
  </si>
  <si>
    <t>Castren Eero</t>
  </si>
  <si>
    <t xml:space="preserve">sulo.kolehmainen@helsinki.fi; </t>
  </si>
  <si>
    <t>7916112</t>
  </si>
  <si>
    <t>Castren Eero 7916112.xlsx</t>
  </si>
  <si>
    <t>Maksaja 12</t>
  </si>
  <si>
    <t>Conway James</t>
  </si>
  <si>
    <t xml:space="preserve">tarja.grundstrom@helsinki.fi; </t>
  </si>
  <si>
    <t>70996195</t>
  </si>
  <si>
    <t>Conway James 70996195.xlsx</t>
  </si>
  <si>
    <t>Maksaja 13</t>
  </si>
  <si>
    <t>H3602</t>
  </si>
  <si>
    <t>Haapasalo Karita</t>
  </si>
  <si>
    <t>karita.haapasalo@helsinki.fi</t>
  </si>
  <si>
    <t>1360134</t>
  </si>
  <si>
    <t>Haapasalo Karita 1360134.xlsx</t>
  </si>
  <si>
    <t>Maksaja 14</t>
  </si>
  <si>
    <t>H3712</t>
  </si>
  <si>
    <t>Heikki Joensuu</t>
  </si>
  <si>
    <t>heikki.joensuu@hus.fi</t>
  </si>
  <si>
    <t>4707124</t>
  </si>
  <si>
    <t>Heikki Joensuu 4707124.xlsx</t>
  </si>
  <si>
    <t>Maksaja 15</t>
  </si>
  <si>
    <t>Helle Emmi</t>
  </si>
  <si>
    <t>emmi.helle@helsinki.fi</t>
  </si>
  <si>
    <t>4710019</t>
  </si>
  <si>
    <t>Helle Emmi 4710019.xlsx</t>
  </si>
  <si>
    <t>Maksaja 16</t>
  </si>
  <si>
    <t>H3048</t>
  </si>
  <si>
    <t>Hemminki Akseli</t>
  </si>
  <si>
    <t xml:space="preserve">minna.k.oksanen@helsinki.fi; </t>
  </si>
  <si>
    <t>4707514</t>
  </si>
  <si>
    <t>Hemminki Akseli 4707514.xlsx</t>
  </si>
  <si>
    <t>Maksaja 17</t>
  </si>
  <si>
    <t>H30491</t>
  </si>
  <si>
    <t>Hovatta Iiris</t>
  </si>
  <si>
    <t xml:space="preserve">veijo.kinnunen@helsinki.fi; </t>
  </si>
  <si>
    <t>4709607</t>
  </si>
  <si>
    <t>Hovatta Iiris 4709607.xlsx</t>
  </si>
  <si>
    <t>Maksaja 18</t>
  </si>
  <si>
    <t>Ikonen Elina</t>
  </si>
  <si>
    <t>elina.ikonen@helsinki.fi</t>
  </si>
  <si>
    <t>73452219</t>
  </si>
  <si>
    <t>Ikonen Elina 73452219.xlsx</t>
  </si>
  <si>
    <t>Maksaja 19</t>
  </si>
  <si>
    <t>Itkonen Harri</t>
  </si>
  <si>
    <t>harri.itkonen@helsinki.fi</t>
  </si>
  <si>
    <t>4709410</t>
  </si>
  <si>
    <t>Itkonen Harri 4709410.xlsx</t>
  </si>
  <si>
    <t>Maksaja 20</t>
  </si>
  <si>
    <t>H5761</t>
  </si>
  <si>
    <t>Katajisto Pekka</t>
  </si>
  <si>
    <t>pekka.katajisto@helsinki.fi</t>
  </si>
  <si>
    <t>4100411</t>
  </si>
  <si>
    <t>Katajisto Pekka 4100411.xlsx</t>
  </si>
  <si>
    <t>Maksaja 21</t>
  </si>
  <si>
    <t>H30492</t>
  </si>
  <si>
    <t>Kauppi Liisa</t>
  </si>
  <si>
    <t xml:space="preserve">minna.eriksson@helsinki.fi; </t>
  </si>
  <si>
    <t>1369888</t>
  </si>
  <si>
    <t>Kauppi Liisa 1369888.xlsx</t>
  </si>
  <si>
    <t>Maksaja 22</t>
  </si>
  <si>
    <t>Kekäläinen Eliisa</t>
  </si>
  <si>
    <t>eliisa.kekalainen@helsinki.fi</t>
  </si>
  <si>
    <t>4100588</t>
  </si>
  <si>
    <t>Kekäläinen Eliisa 4100588.xlsx</t>
  </si>
  <si>
    <t>Maksaja 23</t>
  </si>
  <si>
    <t>Khan Nahid</t>
  </si>
  <si>
    <t>nahid.khan@helsinki.fi</t>
  </si>
  <si>
    <t>1355637</t>
  </si>
  <si>
    <t>Khan Nahid 1355637.xlsx</t>
  </si>
  <si>
    <t>Maksaja 24</t>
  </si>
  <si>
    <t>Klefström Juha</t>
  </si>
  <si>
    <t xml:space="preserve">ellisiv.nyhamar@helsinki.fi; </t>
  </si>
  <si>
    <t>1350393</t>
  </si>
  <si>
    <t>Klefström Juha 1350393.xlsx</t>
  </si>
  <si>
    <t>Maksaja 25</t>
  </si>
  <si>
    <t>Koistinaho Jari</t>
  </si>
  <si>
    <t xml:space="preserve">erja.huttu@helsinki.fi; </t>
  </si>
  <si>
    <t>6306010</t>
  </si>
  <si>
    <t>Koistinaho Jari 6306010.xlsx</t>
  </si>
  <si>
    <t>Maksaja 26</t>
  </si>
  <si>
    <t>Korhonen Emilia</t>
  </si>
  <si>
    <t xml:space="preserve">emilia.z.korhonen@helsinki.fi; </t>
  </si>
  <si>
    <t>1371988</t>
  </si>
  <si>
    <t>Korhonen Emilia 1371988.xlsx</t>
  </si>
  <si>
    <t>Maksaja 27</t>
  </si>
  <si>
    <t>H9701</t>
  </si>
  <si>
    <t>Kuure Satu</t>
  </si>
  <si>
    <t>satu.kuure@helsinki.fi</t>
  </si>
  <si>
    <t>4710432</t>
  </si>
  <si>
    <t>Kuure Satu 4710432.xlsx</t>
  </si>
  <si>
    <t>Maksaja 28</t>
  </si>
  <si>
    <t>Laakkonen Pirjo</t>
  </si>
  <si>
    <t>pirjo.laakkonen@helsinki.fi</t>
  </si>
  <si>
    <t>4100217</t>
  </si>
  <si>
    <t>Laakkonen Pirjo 4100217.xlsx</t>
  </si>
  <si>
    <t>Maksaja 29</t>
  </si>
  <si>
    <t>Lappalainen Pekka</t>
  </si>
  <si>
    <t>pekka.lappalainen@helsinki.fi</t>
  </si>
  <si>
    <t>1364183</t>
  </si>
  <si>
    <t>Lappalainen Pekka 1364183.xlsx</t>
  </si>
  <si>
    <t>Maksaja 30</t>
  </si>
  <si>
    <t>H3047</t>
  </si>
  <si>
    <t>Lehtonen Sanna</t>
  </si>
  <si>
    <t xml:space="preserve">sanna.h.lehtonen@helsinki.fi; </t>
  </si>
  <si>
    <t>73047500</t>
  </si>
  <si>
    <t>Lehtonen Sanna 73047500.xlsx</t>
  </si>
  <si>
    <t>Maksaja 31</t>
  </si>
  <si>
    <t>H30494</t>
  </si>
  <si>
    <t>Lilius Tuomas</t>
  </si>
  <si>
    <t>tuomas.lilius@helsinki.fi</t>
  </si>
  <si>
    <t>4709519</t>
  </si>
  <si>
    <t>Lilius Tuomas 4709519.xlsx</t>
  </si>
  <si>
    <t>Maksaja 32</t>
  </si>
  <si>
    <t>Lindholm Dan</t>
  </si>
  <si>
    <t>dan.lindholm@helsinki.fi</t>
  </si>
  <si>
    <t>4709786</t>
  </si>
  <si>
    <t>Lindholm Dan 4709786.xlsx</t>
  </si>
  <si>
    <t>Maksaja 33</t>
  </si>
  <si>
    <t>Mervaala Eero</t>
  </si>
  <si>
    <t>eero.mervaala@helsinki.fi</t>
  </si>
  <si>
    <t>4708965</t>
  </si>
  <si>
    <t>Mervaala Eero 4708965.xlsx</t>
  </si>
  <si>
    <t>Maksaja 34</t>
  </si>
  <si>
    <t>H300</t>
  </si>
  <si>
    <t>Monni Outi</t>
  </si>
  <si>
    <t>outi.monni@helsinki.fi</t>
  </si>
  <si>
    <t>7300506</t>
  </si>
  <si>
    <t>Monni Outi 7300506.xlsx</t>
  </si>
  <si>
    <t>Maksaja 35</t>
  </si>
  <si>
    <t>Myöhänen Timo</t>
  </si>
  <si>
    <t>timo.myohanen@helsinki.fi</t>
  </si>
  <si>
    <t>4707312</t>
  </si>
  <si>
    <t>Myöhänen Timo 4707312.xlsx</t>
  </si>
  <si>
    <t>Maksaja 36</t>
  </si>
  <si>
    <t>H3604</t>
  </si>
  <si>
    <t>Mäyränpää Mikko</t>
  </si>
  <si>
    <t>mikko.mayranpaa@helsinki.fi</t>
  </si>
  <si>
    <t>4707401</t>
  </si>
  <si>
    <t>Mäyränpää Mikko 4707401.xlsx</t>
  </si>
  <si>
    <t>Maksaja 37</t>
  </si>
  <si>
    <t>Ojala Päivi</t>
  </si>
  <si>
    <t xml:space="preserve">krista.tuohinto@helsinki.fi; </t>
  </si>
  <si>
    <t>4706833</t>
  </si>
  <si>
    <t>Ojala Päivi 4706833.xlsx</t>
  </si>
  <si>
    <t>Maksaja 38</t>
  </si>
  <si>
    <t>Olli Pietiläinen</t>
  </si>
  <si>
    <t>nan</t>
  </si>
  <si>
    <t>4706744</t>
  </si>
  <si>
    <t>Olli Pietiläinen 4706744.xlsx</t>
  </si>
  <si>
    <t>Maksaja 39</t>
  </si>
  <si>
    <t>Raivio Taneli</t>
  </si>
  <si>
    <t>taneli.raivio@helsinki.fi</t>
  </si>
  <si>
    <t>1368584</t>
  </si>
  <si>
    <t>Raivio Taneli 1368584.xlsx</t>
  </si>
  <si>
    <t>Maksaja 40</t>
  </si>
  <si>
    <t>Ramste Markus</t>
  </si>
  <si>
    <t>markus.ramste@helsinki.fi</t>
  </si>
  <si>
    <t>4710223</t>
  </si>
  <si>
    <t>Ramste Markus 4710223.xlsx</t>
  </si>
  <si>
    <t>Maksaja 41</t>
  </si>
  <si>
    <t>Rivera Claudio</t>
  </si>
  <si>
    <t>claudio.rivera@helsinki.fi</t>
  </si>
  <si>
    <t>7916131</t>
  </si>
  <si>
    <t>Rivera Claudio 7916131.xlsx</t>
  </si>
  <si>
    <t>Maksaja 42</t>
  </si>
  <si>
    <t>Saharinen Pipsa</t>
  </si>
  <si>
    <t>pipsa.saharinen@helsinki.fi</t>
  </si>
  <si>
    <t>1364184</t>
  </si>
  <si>
    <t>Saharinen Pipsa 1364184.xlsx</t>
  </si>
  <si>
    <t>Maksaja 43</t>
  </si>
  <si>
    <t>799992072</t>
  </si>
  <si>
    <t>Saharinen Pipsa 799992072.xlsx</t>
  </si>
  <si>
    <t>Maksaja 44</t>
  </si>
  <si>
    <t>Salem Abdelhakim</t>
  </si>
  <si>
    <t>1362035</t>
  </si>
  <si>
    <t>Salem Abdelhakim 1362035.xlsx</t>
  </si>
  <si>
    <t>Maksaja 45</t>
  </si>
  <si>
    <t>Salo Tuula</t>
  </si>
  <si>
    <t>tuula.salo@helsinki.fi</t>
  </si>
  <si>
    <t>4706792</t>
  </si>
  <si>
    <t>Salo Tuula 4706792.xlsx</t>
  </si>
  <si>
    <t>Maksaja 46</t>
  </si>
  <si>
    <t>Schäfer Annika</t>
  </si>
  <si>
    <t>annika.schafer@helsinki.fi</t>
  </si>
  <si>
    <t>4709696</t>
  </si>
  <si>
    <t>Schäfer Annika 4709696.xlsx</t>
  </si>
  <si>
    <t>Maksaja 47</t>
  </si>
  <si>
    <t>Taija Mäkinen</t>
  </si>
  <si>
    <t xml:space="preserve">taija.makinen@helsinki.fi; </t>
  </si>
  <si>
    <t>4707225</t>
  </si>
  <si>
    <t>Taija Mäkinen 4707225.xlsx</t>
  </si>
  <si>
    <t>Maksaja 48</t>
  </si>
  <si>
    <t>Tyynismaa Henna LTDK PilotDOCS</t>
  </si>
  <si>
    <t xml:space="preserve">henna.tyynismaa@helsinki.fi; sirpa.vaisanen@helsinki.fi; </t>
  </si>
  <si>
    <t>Tyynismaa Henna LTDK PilotDOCS 7300506.xlsx</t>
  </si>
  <si>
    <t>Maksaja 49</t>
  </si>
  <si>
    <t>7300507</t>
  </si>
  <si>
    <t>Tyynismaa Henna LTDK PilotDOCS 7300507.xlsx</t>
  </si>
  <si>
    <t>Maksaja 50</t>
  </si>
  <si>
    <t>Vaahtomeri Kari</t>
  </si>
  <si>
    <t>kari.vaahtomeri@helsinki.fi</t>
  </si>
  <si>
    <t>1356849</t>
  </si>
  <si>
    <t>Vaahtomeri Kari 1356849.xlsx</t>
  </si>
  <si>
    <t>Maksaja 51</t>
  </si>
  <si>
    <t>Vanharanta Sakari</t>
  </si>
  <si>
    <t>sakari.vanharanta@helsinki.fi</t>
  </si>
  <si>
    <t>1338420</t>
  </si>
  <si>
    <t>Vanharanta Sakari 1338420.xlsx</t>
  </si>
  <si>
    <t>Maksaja 52</t>
  </si>
  <si>
    <t>Vuoristo Sanna</t>
  </si>
  <si>
    <t>sanna.vuoristo@helsinki.fi</t>
  </si>
  <si>
    <t>1372136</t>
  </si>
  <si>
    <t>Vuoristo Sanna 1372136.xlsx</t>
  </si>
  <si>
    <t>Maksaja 53</t>
  </si>
  <si>
    <t>4706506</t>
  </si>
  <si>
    <t>Vuoristo Sanna 4706506.xlsx</t>
  </si>
  <si>
    <t>Maksaja 54</t>
  </si>
  <si>
    <t>Vähä-Koskela Markus</t>
  </si>
  <si>
    <t>markus.vaha-koskela@helsinki.fi</t>
  </si>
  <si>
    <t>4710048</t>
  </si>
  <si>
    <t>Vähä-Koskela Markus 4710048.xlsx</t>
  </si>
  <si>
    <t>Maksaja 55</t>
  </si>
  <si>
    <t>Vähärautio Anna</t>
  </si>
  <si>
    <t>anna.vaharautio@helsinki.fi</t>
  </si>
  <si>
    <t>4100535</t>
  </si>
  <si>
    <t>Vähärautio Anna 4100535.xlsx</t>
  </si>
  <si>
    <t>Maksaja 56</t>
  </si>
  <si>
    <t>Wickström Sara</t>
  </si>
  <si>
    <t xml:space="preserve">hanne.ahola@helsinki.fi; </t>
  </si>
  <si>
    <t>1364186</t>
  </si>
  <si>
    <t>Wickström Sara 1364186.xlsx</t>
  </si>
  <si>
    <t>Maksaja 57</t>
  </si>
  <si>
    <t>XHUS Eklund K</t>
  </si>
  <si>
    <t xml:space="preserve">Kari.Eklund@helsinki.fi; </t>
  </si>
  <si>
    <t>1322638</t>
  </si>
  <si>
    <t>XHUS Eklund K 1322638.xlsx</t>
  </si>
  <si>
    <t>Maksaja 58</t>
  </si>
  <si>
    <t>Maksaja 59</t>
  </si>
  <si>
    <t>Maksaja 60</t>
  </si>
  <si>
    <t>Maksaja 61</t>
  </si>
  <si>
    <t>Maksaja 62</t>
  </si>
  <si>
    <t>Maksaja 63</t>
  </si>
  <si>
    <t>Maksaja 64</t>
  </si>
  <si>
    <t>Maksaja 65</t>
  </si>
  <si>
    <t>Maksaja 66</t>
  </si>
  <si>
    <t>Maksaja 67</t>
  </si>
  <si>
    <t>Maksaja 68</t>
  </si>
  <si>
    <t>Maksaja 69</t>
  </si>
  <si>
    <t>Maksaja 70</t>
  </si>
  <si>
    <t>Maksaja 71</t>
  </si>
  <si>
    <t>Maksaja 72</t>
  </si>
  <si>
    <t>Maksaja 73</t>
  </si>
  <si>
    <t>Maksaja 74</t>
  </si>
  <si>
    <t>Maksaja 75</t>
  </si>
  <si>
    <t>Maksaja 76</t>
  </si>
  <si>
    <t>Maksaja 77</t>
  </si>
  <si>
    <t>Maksaja 78</t>
  </si>
  <si>
    <t>Maksaja 79</t>
  </si>
  <si>
    <t>Maksaja 80</t>
  </si>
  <si>
    <t>Maksaja 81</t>
  </si>
  <si>
    <t>Maksaja 82</t>
  </si>
  <si>
    <t>Maksaja 83</t>
  </si>
  <si>
    <t>Maksaja 84</t>
  </si>
  <si>
    <t>Maksaja 85</t>
  </si>
  <si>
    <t>Maksaja 86</t>
  </si>
  <si>
    <t>Maksaja 87</t>
  </si>
  <si>
    <t>Maksaja 88</t>
  </si>
  <si>
    <t>Maksaja 89</t>
  </si>
  <si>
    <t>Maksaja 90</t>
  </si>
  <si>
    <t>Maksaja 91</t>
  </si>
  <si>
    <t>Maksaja 92</t>
  </si>
  <si>
    <t>Maksaja 93</t>
  </si>
  <si>
    <t>Maksaja 94</t>
  </si>
  <si>
    <t>Maksaja 95</t>
  </si>
  <si>
    <t>Maksaja 96</t>
  </si>
  <si>
    <t>Maksaja 97</t>
  </si>
  <si>
    <t>Maksaja 98</t>
  </si>
  <si>
    <t>Maksaja 99</t>
  </si>
  <si>
    <t>Maksaja 100</t>
  </si>
  <si>
    <t>Maksaja 101</t>
  </si>
  <si>
    <t>Maksaja 102</t>
  </si>
  <si>
    <t>Maksaja 103</t>
  </si>
  <si>
    <t>Maksaja 104</t>
  </si>
  <si>
    <t>Maksaja 105</t>
  </si>
  <si>
    <t>Maksaja 106</t>
  </si>
  <si>
    <t>Maksaja 107</t>
  </si>
  <si>
    <t>Maksaja 108</t>
  </si>
  <si>
    <t>Maksaja 109</t>
  </si>
  <si>
    <t>Maksaja 110</t>
  </si>
  <si>
    <t>Maksaja 111</t>
  </si>
  <si>
    <t>Maksaja 112</t>
  </si>
  <si>
    <t>Maksaja 113</t>
  </si>
  <si>
    <t>Maksaja 114</t>
  </si>
  <si>
    <t>Maksaja 115</t>
  </si>
  <si>
    <t>Maksaja 116</t>
  </si>
  <si>
    <t>Maksaja 117</t>
  </si>
  <si>
    <t>Maksaja 118</t>
  </si>
  <si>
    <t>Maksaja 119</t>
  </si>
  <si>
    <t>Maksaja 120</t>
  </si>
  <si>
    <t>Maksaja 121</t>
  </si>
  <si>
    <t>Maksaja 122</t>
  </si>
  <si>
    <t>Maksaja 123</t>
  </si>
  <si>
    <t>Maksaja 124</t>
  </si>
  <si>
    <t>Maksaja 125</t>
  </si>
  <si>
    <t>Maksaja 126</t>
  </si>
  <si>
    <t>Maksaja 127</t>
  </si>
  <si>
    <t>Maksaja 128</t>
  </si>
  <si>
    <t>Maksaja 129</t>
  </si>
  <si>
    <t>Maksaja 130</t>
  </si>
  <si>
    <t>Maksaja 131</t>
  </si>
  <si>
    <t>Maksaja 132</t>
  </si>
  <si>
    <t>Maksaja 133</t>
  </si>
  <si>
    <t>Maksaja 134</t>
  </si>
  <si>
    <t>Maksaja 135</t>
  </si>
  <si>
    <t>Maksaja 136</t>
  </si>
  <si>
    <t>Maksaja 137</t>
  </si>
  <si>
    <t>Maksaja 138</t>
  </si>
  <si>
    <t>Maksaja 139</t>
  </si>
  <si>
    <t>Maksaja 140</t>
  </si>
  <si>
    <t>Maksaja 141</t>
  </si>
  <si>
    <t>Maksaja 142</t>
  </si>
  <si>
    <t>Maksaja 143</t>
  </si>
  <si>
    <t>Maksaja 144</t>
  </si>
  <si>
    <t>Maksaja 145</t>
  </si>
  <si>
    <t>Maksaja 146</t>
  </si>
  <si>
    <t>Maksaja 147</t>
  </si>
  <si>
    <t>Maksaja 148</t>
  </si>
  <si>
    <t>Maksaja 149</t>
  </si>
  <si>
    <t>Maksaja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</si>
</sst>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2"/>
      <color theme="2" tint="-9.9978637043366805E-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AD6D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4" fillId="0" borderId="0" xfId="1" applyFont="1"/>
    <xf numFmtId="0" fontId="3" fillId="0" borderId="0" xfId="0" applyFont="1"/>
    <xf numFmtId="0" fontId="2" fillId="0" borderId="0" xfId="1" applyFont="1"/>
    <xf numFmtId="0" fontId="5" fillId="0" borderId="0" xfId="0" quotePrefix="1" applyFont="1"/>
    <xf numFmtId="0" fontId="5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2" borderId="1" xfId="0" applyFill="1" applyBorder="1"/>
    <xf numFmtId="0" fontId="7" fillId="0" borderId="0" xfId="0" applyFont="1"/>
    <xf numFmtId="0" fontId="6" fillId="0" borderId="4" xfId="0" applyFont="1" applyBorder="1"/>
    <xf numFmtId="0" fontId="0" fillId="0" borderId="5" xfId="0" applyBorder="1"/>
    <xf numFmtId="0" fontId="3" fillId="0" borderId="0" xfId="1" applyFont="1"/>
    <xf numFmtId="0" fontId="1" fillId="0" borderId="1" xfId="1" applyBorder="1" applyAlignment="1">
      <alignment vertical="top" wrapText="1"/>
    </xf>
    <xf numFmtId="0" fontId="2" fillId="0" borderId="1" xfId="1" applyFont="1" applyBorder="1" applyAlignment="1">
      <alignment vertical="top" wrapText="1"/>
    </xf>
    <xf numFmtId="0" fontId="0" fillId="0" borderId="3" xfId="0" applyBorder="1"/>
    <xf numFmtId="0" fontId="0" fillId="0" borderId="6" xfId="0" applyBorder="1" applyAlignment="1">
      <alignment vertical="top" wrapText="1"/>
    </xf>
    <xf numFmtId="0" fontId="0" fillId="2" borderId="0" xfId="0" applyFill="1"/>
    <xf numFmtId="0" fontId="9" fillId="0" borderId="0" xfId="1" applyFont="1"/>
    <xf numFmtId="0" fontId="0" fillId="2" borderId="2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0" xfId="0" applyAlignment="1">
      <alignment horizontal="right"/>
    </xf>
    <xf numFmtId="2" fontId="0" fillId="0" borderId="1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8" fillId="2" borderId="1" xfId="0" applyFont="1" applyFill="1" applyBorder="1"/>
    <xf numFmtId="2" fontId="8" fillId="0" borderId="1" xfId="0" applyNumberFormat="1" applyFont="1" applyBorder="1" applyAlignment="1">
      <alignment vertical="top"/>
    </xf>
    <xf numFmtId="0" fontId="10" fillId="0" borderId="0" xfId="0" applyFont="1"/>
    <xf numFmtId="0" fontId="0" fillId="3" borderId="3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4" fontId="7" fillId="4" borderId="1" xfId="0" applyNumberFormat="1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8" fillId="2" borderId="7" xfId="0" applyFont="1" applyFill="1" applyBorder="1"/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8" fillId="3" borderId="0" xfId="0" applyFont="1" applyFill="1" applyAlignment="1">
      <alignment vertical="center" wrapText="1"/>
    </xf>
    <xf numFmtId="0" fontId="0" fillId="5" borderId="0" xfId="0" applyFill="1" applyAlignment="1">
      <alignment horizontal="left" vertical="top" wrapText="1"/>
    </xf>
    <xf numFmtId="0" fontId="0" fillId="2" borderId="8" xfId="0" applyFill="1" applyBorder="1"/>
    <xf numFmtId="0" fontId="0" fillId="0" borderId="2" xfId="0" applyBorder="1" applyAlignment="1">
      <alignment vertical="top" wrapText="1"/>
    </xf>
    <xf numFmtId="2" fontId="0" fillId="0" borderId="12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2" fontId="0" fillId="0" borderId="15" xfId="0" applyNumberFormat="1" applyBorder="1"/>
    <xf numFmtId="0" fontId="11" fillId="3" borderId="1" xfId="0" applyFont="1" applyFill="1" applyBorder="1" applyAlignment="1">
      <alignment wrapText="1"/>
    </xf>
    <xf numFmtId="0" fontId="0" fillId="6" borderId="7" xfId="0" applyFill="1" applyBorder="1" applyAlignment="1">
      <alignment vertical="top"/>
    </xf>
    <xf numFmtId="2" fontId="0" fillId="6" borderId="1" xfId="0" applyNumberFormat="1" applyFill="1" applyBorder="1" applyAlignment="1">
      <alignment vertical="top"/>
    </xf>
    <xf numFmtId="0" fontId="0" fillId="0" borderId="16" xfId="0" applyBorder="1" applyAlignment="1">
      <alignment vertical="top" wrapText="1"/>
    </xf>
    <xf numFmtId="0" fontId="0" fillId="0" borderId="10" xfId="0" applyBorder="1"/>
    <xf numFmtId="0" fontId="0" fillId="7" borderId="17" xfId="0" applyFill="1" applyBorder="1" applyAlignment="1">
      <alignment horizontal="center" vertical="top"/>
    </xf>
    <xf numFmtId="0" fontId="0" fillId="7" borderId="11" xfId="0" applyFill="1" applyBorder="1" applyAlignment="1">
      <alignment vertical="top"/>
    </xf>
    <xf numFmtId="0" fontId="0" fillId="7" borderId="4" xfId="0" applyFill="1" applyBorder="1" applyAlignment="1">
      <alignment vertical="top"/>
    </xf>
    <xf numFmtId="0" fontId="0" fillId="3" borderId="9" xfId="0" applyFill="1" applyBorder="1" applyAlignment="1">
      <alignment horizontal="center" vertical="top"/>
    </xf>
    <xf numFmtId="0" fontId="0" fillId="3" borderId="8" xfId="0" applyFill="1" applyBorder="1" applyAlignment="1">
      <alignment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58"/>
  <sheetViews>
    <sheetView showGridLines="0" tabSelected="1" topLeftCell="N40" zoomScale="61" zoomScaleNormal="61" workbookViewId="0">
      <selection activeCell="AR130" sqref="AR130"/>
    </sheetView>
  </sheetViews>
  <sheetFormatPr defaultRowHeight="15.5" x14ac:dyDescent="0.35"/>
  <cols>
    <col min="1" max="1" width="5.75" customWidth="1"/>
    <col min="2" max="2" width="53.25" customWidth="1"/>
    <col min="3" max="3" width="5.08203125" customWidth="1"/>
    <col min="4" max="4" width="11" customWidth="1"/>
    <col min="5" max="6" width="30.08203125" customWidth="1"/>
    <col min="7" max="7" width="20" customWidth="1"/>
    <col min="8" max="8" width="5.25" customWidth="1"/>
    <col min="9" max="9" width="11.33203125" customWidth="1"/>
    <col min="10" max="10" width="11.5" customWidth="1"/>
    <col min="11" max="12" width="19.08203125" customWidth="1"/>
    <col min="13" max="13" width="12.58203125" customWidth="1"/>
    <col min="14" max="14" width="25.25" customWidth="1"/>
    <col min="16" max="16" width="21.75" customWidth="1"/>
    <col min="17" max="17" width="45.4140625" customWidth="1"/>
    <col min="18" max="42" width="39.75" customWidth="1"/>
    <col min="43" max="43" width="18.08203125" customWidth="1"/>
    <col min="44" max="44" width="11.58203125" customWidth="1"/>
    <col min="45" max="45" width="12.83203125" bestFit="1" customWidth="1"/>
    <col min="46" max="56" width="10.25" customWidth="1"/>
  </cols>
  <sheetData>
    <row r="1" spans="1:57" ht="98.25" customHeight="1" x14ac:dyDescent="0.35">
      <c r="B1" s="10"/>
    </row>
    <row r="2" spans="1:57" ht="21" customHeight="1" x14ac:dyDescent="0.5">
      <c r="B2" s="19" t="s">
        <v>0</v>
      </c>
      <c r="R2" s="1"/>
    </row>
    <row r="4" spans="1:57" ht="18.75" customHeight="1" x14ac:dyDescent="0.45">
      <c r="B4" s="2" t="s">
        <v>1</v>
      </c>
      <c r="C4" s="2"/>
      <c r="D4" s="2"/>
      <c r="E4" s="13" t="s">
        <v>2</v>
      </c>
      <c r="F4" s="2"/>
      <c r="G4" s="2"/>
      <c r="H4" s="2"/>
      <c r="J4" s="2" t="s">
        <v>3</v>
      </c>
      <c r="R4" s="13" t="s">
        <v>4</v>
      </c>
      <c r="AT4" s="2" t="s">
        <v>5</v>
      </c>
      <c r="AU4" s="2"/>
    </row>
    <row r="5" spans="1:57" x14ac:dyDescent="0.35">
      <c r="R5" s="3" t="s">
        <v>6</v>
      </c>
      <c r="AT5" t="s">
        <v>7</v>
      </c>
    </row>
    <row r="6" spans="1:57" ht="37.5" customHeight="1" thickBot="1" x14ac:dyDescent="0.4">
      <c r="B6" s="38" t="s">
        <v>8</v>
      </c>
      <c r="R6" s="4" t="s">
        <v>9</v>
      </c>
      <c r="S6" s="4" t="s">
        <v>9</v>
      </c>
      <c r="T6" s="4" t="s">
        <v>9</v>
      </c>
      <c r="U6" s="4" t="s">
        <v>9</v>
      </c>
      <c r="V6" s="4" t="s">
        <v>9</v>
      </c>
      <c r="W6" s="4" t="s">
        <v>9</v>
      </c>
      <c r="X6" s="4" t="s">
        <v>9</v>
      </c>
      <c r="Y6" s="4" t="s">
        <v>9</v>
      </c>
      <c r="Z6" s="4" t="s">
        <v>9</v>
      </c>
      <c r="AA6" s="4" t="s">
        <v>9</v>
      </c>
      <c r="AB6" s="4" t="s">
        <v>9</v>
      </c>
      <c r="AC6" s="4" t="s">
        <v>9</v>
      </c>
      <c r="AD6" s="4" t="s">
        <v>9</v>
      </c>
      <c r="AE6" s="4" t="s">
        <v>9</v>
      </c>
      <c r="AF6" s="4" t="s">
        <v>9</v>
      </c>
      <c r="AG6" s="4" t="s">
        <v>9</v>
      </c>
      <c r="AH6" s="4" t="s">
        <v>9</v>
      </c>
      <c r="AI6" s="4" t="s">
        <v>9</v>
      </c>
      <c r="AJ6" s="4" t="s">
        <v>9</v>
      </c>
      <c r="AK6" s="4" t="s">
        <v>9</v>
      </c>
      <c r="AL6" s="4" t="s">
        <v>9</v>
      </c>
      <c r="AM6" s="4" t="s">
        <v>9</v>
      </c>
      <c r="AN6" s="4" t="s">
        <v>9</v>
      </c>
      <c r="AO6" s="4" t="s">
        <v>9</v>
      </c>
      <c r="AP6" s="4" t="s">
        <v>9</v>
      </c>
      <c r="AQ6" s="5"/>
      <c r="AT6" t="s">
        <v>10</v>
      </c>
    </row>
    <row r="7" spans="1:57" s="7" customFormat="1" ht="110.25" customHeight="1" thickBot="1" x14ac:dyDescent="0.4">
      <c r="B7" s="39" t="s">
        <v>11</v>
      </c>
      <c r="C7" s="6"/>
      <c r="D7" s="6"/>
      <c r="E7" s="14" t="s">
        <v>12</v>
      </c>
      <c r="F7" s="14" t="s">
        <v>13</v>
      </c>
      <c r="G7" s="15" t="s">
        <v>14</v>
      </c>
      <c r="H7" s="6"/>
      <c r="J7" s="8" t="s">
        <v>15</v>
      </c>
      <c r="K7" s="8" t="s">
        <v>16</v>
      </c>
      <c r="L7" s="8" t="s">
        <v>17</v>
      </c>
      <c r="M7" s="8" t="s">
        <v>18</v>
      </c>
      <c r="N7" s="36" t="s">
        <v>19</v>
      </c>
      <c r="O7" s="17"/>
      <c r="Q7" s="49" t="s">
        <v>20</v>
      </c>
      <c r="R7" s="41" t="s">
        <v>21</v>
      </c>
      <c r="S7" s="41" t="s">
        <v>22</v>
      </c>
      <c r="T7" s="41" t="s">
        <v>23</v>
      </c>
      <c r="U7" s="41" t="s">
        <v>24</v>
      </c>
      <c r="V7" s="41" t="s">
        <v>25</v>
      </c>
      <c r="W7" s="41" t="s">
        <v>26</v>
      </c>
      <c r="X7" s="41" t="s">
        <v>27</v>
      </c>
      <c r="Y7" s="41" t="s">
        <v>28</v>
      </c>
      <c r="Z7" s="41" t="s">
        <v>29</v>
      </c>
      <c r="AA7" s="41" t="s">
        <v>30</v>
      </c>
      <c r="AB7" s="41" t="s">
        <v>31</v>
      </c>
      <c r="AC7" s="41" t="s">
        <v>32</v>
      </c>
      <c r="AD7" s="41" t="s">
        <v>33</v>
      </c>
      <c r="AE7" s="41" t="s">
        <v>34</v>
      </c>
      <c r="AF7" s="41" t="s">
        <v>35</v>
      </c>
      <c r="AG7" s="41" t="s">
        <v>36</v>
      </c>
      <c r="AH7" s="41" t="s">
        <v>37</v>
      </c>
      <c r="AI7" s="41" t="s">
        <v>38</v>
      </c>
      <c r="AJ7" s="41" t="s">
        <v>39</v>
      </c>
      <c r="AK7" s="41" t="s">
        <v>40</v>
      </c>
      <c r="AL7" s="41" t="s">
        <v>41</v>
      </c>
      <c r="AM7" s="41" t="s">
        <v>42</v>
      </c>
      <c r="AN7" s="41" t="s">
        <v>43</v>
      </c>
      <c r="AO7" s="41" t="s">
        <v>44</v>
      </c>
      <c r="AP7" s="41" t="s">
        <v>45</v>
      </c>
      <c r="AQ7" s="8" t="s">
        <v>46</v>
      </c>
      <c r="AR7" s="6"/>
      <c r="AT7" s="22" t="s">
        <v>47</v>
      </c>
      <c r="AU7" s="8" t="s">
        <v>48</v>
      </c>
      <c r="AV7" s="8" t="s">
        <v>49</v>
      </c>
      <c r="AW7" s="8" t="s">
        <v>50</v>
      </c>
      <c r="AX7" s="8" t="s">
        <v>51</v>
      </c>
      <c r="AY7" s="8" t="s">
        <v>52</v>
      </c>
      <c r="AZ7" s="8" t="s">
        <v>53</v>
      </c>
      <c r="BA7" s="8" t="s">
        <v>54</v>
      </c>
      <c r="BB7" s="8" t="s">
        <v>55</v>
      </c>
      <c r="BC7" s="8" t="s">
        <v>56</v>
      </c>
      <c r="BD7" s="8" t="s">
        <v>57</v>
      </c>
      <c r="BE7" s="27" t="s">
        <v>46</v>
      </c>
    </row>
    <row r="8" spans="1:57" ht="16.5" customHeight="1" thickBot="1" x14ac:dyDescent="0.4">
      <c r="B8" s="18"/>
      <c r="E8" s="9"/>
      <c r="F8" s="9"/>
      <c r="G8" s="9"/>
      <c r="J8" s="9"/>
      <c r="K8" s="9"/>
      <c r="L8" s="9"/>
      <c r="M8" s="9"/>
      <c r="N8" s="9"/>
      <c r="O8" s="16"/>
      <c r="P8" s="35" t="s">
        <v>58</v>
      </c>
      <c r="Q8" s="50"/>
      <c r="R8" s="42"/>
      <c r="S8" s="43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5"/>
      <c r="AQ8" s="40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28"/>
    </row>
    <row r="9" spans="1:57" x14ac:dyDescent="0.35">
      <c r="B9" s="20" t="s">
        <v>59</v>
      </c>
      <c r="D9" s="22" t="s">
        <v>60</v>
      </c>
      <c r="E9" s="32"/>
      <c r="F9" s="32"/>
      <c r="G9" s="33"/>
      <c r="H9" s="6"/>
      <c r="I9" s="22" t="s">
        <v>60</v>
      </c>
      <c r="J9" s="32" t="s">
        <v>61</v>
      </c>
      <c r="K9" s="34" t="s">
        <v>62</v>
      </c>
      <c r="L9" s="32" t="s">
        <v>63</v>
      </c>
      <c r="M9" s="32" t="s">
        <v>64</v>
      </c>
      <c r="N9" s="37"/>
      <c r="O9" s="23"/>
      <c r="P9" s="26" t="s">
        <v>65</v>
      </c>
      <c r="Q9" s="51" t="s">
        <v>66</v>
      </c>
      <c r="R9" s="52">
        <v>900.41</v>
      </c>
      <c r="S9" s="52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25">
        <f t="shared" ref="AQ9:AQ40" si="0">$R$8*R9+$S$8*S9+$T$8*T9+$U$8*U9+$V$8*V9+$W$8*W9+$X$8*X9+$Y$8*Y9+$Z$8*Z9+$AA$8*AA9+$AB$8*AB9+$AC$8*AC9+$AD$8*AD9+$AE$8*AE9+$AF$8*AF9+$AG$8*AG9+$AH$8*AH9+$AI$8*AI9+$AJ$8*AJ9+$AP$8*AP9+$AK$8*AK9+$AL$8*AL9+$AM$8*AM9+$AN$8*AN9+$AO$8*AO9</f>
        <v>0</v>
      </c>
      <c r="AS9" s="22" t="s">
        <v>60</v>
      </c>
      <c r="AT9" s="22">
        <v>503099</v>
      </c>
      <c r="AU9" s="32"/>
      <c r="AV9" s="22">
        <f t="shared" ref="AV9:AV40" si="1">AQ9</f>
        <v>0</v>
      </c>
      <c r="AW9" s="37"/>
      <c r="AX9" s="37"/>
      <c r="AY9" s="37"/>
      <c r="AZ9" s="37"/>
      <c r="BA9" s="37"/>
      <c r="BB9" s="37"/>
      <c r="BC9" s="37"/>
      <c r="BD9" s="37"/>
      <c r="BE9" s="29">
        <f t="shared" ref="BE9:BE40" si="2">AV9+AX9+AZ9+BB9+BD9</f>
        <v>0</v>
      </c>
    </row>
    <row r="10" spans="1:57" x14ac:dyDescent="0.35">
      <c r="B10" s="31" t="s">
        <v>67</v>
      </c>
      <c r="D10" s="22" t="s">
        <v>68</v>
      </c>
      <c r="E10" s="32"/>
      <c r="F10" s="32"/>
      <c r="G10" s="33"/>
      <c r="H10" s="6"/>
      <c r="I10" s="22" t="s">
        <v>68</v>
      </c>
      <c r="J10" s="32" t="s">
        <v>69</v>
      </c>
      <c r="K10" s="32" t="s">
        <v>70</v>
      </c>
      <c r="L10" s="32" t="s">
        <v>71</v>
      </c>
      <c r="M10" s="32" t="s">
        <v>72</v>
      </c>
      <c r="N10" s="37"/>
      <c r="O10" s="23"/>
      <c r="P10" s="47" t="s">
        <v>68</v>
      </c>
      <c r="Q10" s="54" t="s">
        <v>73</v>
      </c>
      <c r="R10" s="55">
        <v>59.5</v>
      </c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48">
        <f t="shared" si="0"/>
        <v>0</v>
      </c>
      <c r="AS10" s="22" t="s">
        <v>68</v>
      </c>
      <c r="AT10" s="22">
        <v>503099</v>
      </c>
      <c r="AU10" s="32"/>
      <c r="AV10" s="22">
        <f t="shared" si="1"/>
        <v>0</v>
      </c>
      <c r="AW10" s="37"/>
      <c r="AX10" s="37"/>
      <c r="AY10" s="37"/>
      <c r="AZ10" s="37"/>
      <c r="BA10" s="37"/>
      <c r="BB10" s="37"/>
      <c r="BC10" s="37"/>
      <c r="BD10" s="37"/>
      <c r="BE10" s="29">
        <f t="shared" si="2"/>
        <v>0</v>
      </c>
    </row>
    <row r="11" spans="1:57" x14ac:dyDescent="0.35">
      <c r="A11" s="24" t="s">
        <v>74</v>
      </c>
      <c r="B11" s="21" t="s">
        <v>75</v>
      </c>
      <c r="D11" s="22" t="s">
        <v>76</v>
      </c>
      <c r="E11" s="32"/>
      <c r="F11" s="32"/>
      <c r="G11" s="33"/>
      <c r="H11" s="6"/>
      <c r="I11" s="22" t="s">
        <v>76</v>
      </c>
      <c r="J11" s="32" t="s">
        <v>77</v>
      </c>
      <c r="K11" s="32" t="s">
        <v>78</v>
      </c>
      <c r="L11" s="32" t="s">
        <v>79</v>
      </c>
      <c r="M11" s="32" t="s">
        <v>80</v>
      </c>
      <c r="N11" s="37"/>
      <c r="O11" s="23"/>
      <c r="P11" s="26" t="s">
        <v>76</v>
      </c>
      <c r="Q11" s="51" t="s">
        <v>81</v>
      </c>
      <c r="R11" s="52">
        <v>84</v>
      </c>
      <c r="S11" s="52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25">
        <f t="shared" si="0"/>
        <v>0</v>
      </c>
      <c r="AS11" s="22" t="s">
        <v>76</v>
      </c>
      <c r="AT11" s="22">
        <v>503099</v>
      </c>
      <c r="AU11" s="32"/>
      <c r="AV11" s="22">
        <f t="shared" si="1"/>
        <v>0</v>
      </c>
      <c r="AW11" s="37"/>
      <c r="AX11" s="37"/>
      <c r="AY11" s="37"/>
      <c r="AZ11" s="37"/>
      <c r="BA11" s="37"/>
      <c r="BB11" s="37"/>
      <c r="BC11" s="37"/>
      <c r="BD11" s="37"/>
      <c r="BE11" s="29">
        <f t="shared" si="2"/>
        <v>0</v>
      </c>
    </row>
    <row r="12" spans="1:57" x14ac:dyDescent="0.35">
      <c r="A12" s="24" t="s">
        <v>74</v>
      </c>
      <c r="B12" s="31" t="s">
        <v>82</v>
      </c>
      <c r="D12" s="22" t="s">
        <v>83</v>
      </c>
      <c r="E12" s="32"/>
      <c r="F12" s="32"/>
      <c r="G12" s="33"/>
      <c r="H12" s="6"/>
      <c r="I12" s="22" t="s">
        <v>83</v>
      </c>
      <c r="J12" s="32" t="s">
        <v>84</v>
      </c>
      <c r="K12" s="32" t="s">
        <v>85</v>
      </c>
      <c r="L12" s="32" t="s">
        <v>86</v>
      </c>
      <c r="M12" s="32" t="s">
        <v>87</v>
      </c>
      <c r="N12" s="37"/>
      <c r="O12" s="23"/>
      <c r="P12" s="47" t="s">
        <v>83</v>
      </c>
      <c r="Q12" s="54" t="s">
        <v>88</v>
      </c>
      <c r="R12" s="55">
        <v>2259.25</v>
      </c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48">
        <f t="shared" si="0"/>
        <v>0</v>
      </c>
      <c r="AS12" s="22" t="s">
        <v>83</v>
      </c>
      <c r="AT12" s="22">
        <v>503099</v>
      </c>
      <c r="AU12" s="32"/>
      <c r="AV12" s="22">
        <f t="shared" si="1"/>
        <v>0</v>
      </c>
      <c r="AW12" s="37"/>
      <c r="AX12" s="37"/>
      <c r="AY12" s="37"/>
      <c r="AZ12" s="37"/>
      <c r="BA12" s="37"/>
      <c r="BB12" s="37"/>
      <c r="BC12" s="37"/>
      <c r="BD12" s="37"/>
      <c r="BE12" s="29">
        <f t="shared" si="2"/>
        <v>0</v>
      </c>
    </row>
    <row r="13" spans="1:57" x14ac:dyDescent="0.35">
      <c r="A13" s="24" t="s">
        <v>74</v>
      </c>
      <c r="B13" s="21" t="s">
        <v>89</v>
      </c>
      <c r="D13" s="22" t="s">
        <v>90</v>
      </c>
      <c r="E13" s="32"/>
      <c r="F13" s="32"/>
      <c r="G13" s="33"/>
      <c r="H13" s="6"/>
      <c r="I13" s="22" t="s">
        <v>90</v>
      </c>
      <c r="J13" s="32" t="s">
        <v>67</v>
      </c>
      <c r="K13" s="32" t="s">
        <v>91</v>
      </c>
      <c r="L13" s="32" t="s">
        <v>92</v>
      </c>
      <c r="M13" s="32" t="s">
        <v>93</v>
      </c>
      <c r="N13" s="37"/>
      <c r="O13" s="23"/>
      <c r="P13" s="26" t="s">
        <v>90</v>
      </c>
      <c r="Q13" s="51" t="s">
        <v>94</v>
      </c>
      <c r="R13" s="52">
        <v>1.33</v>
      </c>
      <c r="S13" s="52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25">
        <f t="shared" si="0"/>
        <v>0</v>
      </c>
      <c r="AS13" s="22" t="s">
        <v>90</v>
      </c>
      <c r="AT13" s="22">
        <v>503099</v>
      </c>
      <c r="AU13" s="32"/>
      <c r="AV13" s="22">
        <f t="shared" si="1"/>
        <v>0</v>
      </c>
      <c r="AW13" s="37"/>
      <c r="AX13" s="37"/>
      <c r="AY13" s="37"/>
      <c r="AZ13" s="37"/>
      <c r="BA13" s="37"/>
      <c r="BB13" s="37"/>
      <c r="BC13" s="37"/>
      <c r="BD13" s="37"/>
      <c r="BE13" s="29">
        <f t="shared" si="2"/>
        <v>0</v>
      </c>
    </row>
    <row r="14" spans="1:57" x14ac:dyDescent="0.35">
      <c r="A14" s="24" t="s">
        <v>74</v>
      </c>
      <c r="B14" s="31" t="s">
        <v>95</v>
      </c>
      <c r="D14" s="22" t="s">
        <v>96</v>
      </c>
      <c r="E14" s="32"/>
      <c r="F14" s="32"/>
      <c r="G14" s="33"/>
      <c r="H14" s="6"/>
      <c r="I14" s="22" t="s">
        <v>96</v>
      </c>
      <c r="J14" s="32" t="s">
        <v>97</v>
      </c>
      <c r="K14" s="34" t="s">
        <v>98</v>
      </c>
      <c r="L14" s="32" t="s">
        <v>99</v>
      </c>
      <c r="M14" s="32" t="s">
        <v>100</v>
      </c>
      <c r="N14" s="37"/>
      <c r="O14" s="23"/>
      <c r="P14" s="47" t="s">
        <v>96</v>
      </c>
      <c r="Q14" s="54" t="s">
        <v>101</v>
      </c>
      <c r="R14" s="55">
        <v>123</v>
      </c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48">
        <f t="shared" si="0"/>
        <v>0</v>
      </c>
      <c r="AS14" s="22" t="s">
        <v>96</v>
      </c>
      <c r="AT14" s="22">
        <v>503099</v>
      </c>
      <c r="AU14" s="32"/>
      <c r="AV14" s="22">
        <f t="shared" si="1"/>
        <v>0</v>
      </c>
      <c r="AW14" s="37"/>
      <c r="AX14" s="37"/>
      <c r="AY14" s="37"/>
      <c r="AZ14" s="37"/>
      <c r="BA14" s="37"/>
      <c r="BB14" s="37"/>
      <c r="BC14" s="37"/>
      <c r="BD14" s="37"/>
      <c r="BE14" s="29">
        <f t="shared" si="2"/>
        <v>0</v>
      </c>
    </row>
    <row r="15" spans="1:57" x14ac:dyDescent="0.35">
      <c r="A15" s="24" t="s">
        <v>74</v>
      </c>
      <c r="B15" s="21" t="s">
        <v>102</v>
      </c>
      <c r="D15" s="22" t="s">
        <v>103</v>
      </c>
      <c r="E15" s="32"/>
      <c r="F15" s="32"/>
      <c r="G15" s="33"/>
      <c r="H15" s="6"/>
      <c r="I15" s="22" t="s">
        <v>103</v>
      </c>
      <c r="J15" s="32" t="s">
        <v>104</v>
      </c>
      <c r="K15" s="32" t="s">
        <v>105</v>
      </c>
      <c r="L15" s="32" t="s">
        <v>106</v>
      </c>
      <c r="M15" s="32" t="s">
        <v>107</v>
      </c>
      <c r="N15" s="37"/>
      <c r="O15" s="23"/>
      <c r="P15" s="26" t="s">
        <v>103</v>
      </c>
      <c r="Q15" s="51" t="s">
        <v>108</v>
      </c>
      <c r="R15" s="52">
        <v>143.5</v>
      </c>
      <c r="S15" s="52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25">
        <f t="shared" si="0"/>
        <v>0</v>
      </c>
      <c r="AS15" s="22" t="s">
        <v>103</v>
      </c>
      <c r="AT15" s="22">
        <v>503099</v>
      </c>
      <c r="AU15" s="32"/>
      <c r="AV15" s="22">
        <f t="shared" si="1"/>
        <v>0</v>
      </c>
      <c r="AW15" s="37"/>
      <c r="AX15" s="37"/>
      <c r="AY15" s="37"/>
      <c r="AZ15" s="37"/>
      <c r="BA15" s="37"/>
      <c r="BB15" s="37"/>
      <c r="BC15" s="37"/>
      <c r="BD15" s="37"/>
      <c r="BE15" s="29">
        <f t="shared" si="2"/>
        <v>0</v>
      </c>
    </row>
    <row r="16" spans="1:57" x14ac:dyDescent="0.35">
      <c r="A16" s="24" t="s">
        <v>74</v>
      </c>
      <c r="B16" s="31" t="s">
        <v>109</v>
      </c>
      <c r="D16" s="22" t="s">
        <v>110</v>
      </c>
      <c r="E16" s="32"/>
      <c r="F16" s="32"/>
      <c r="G16" s="33"/>
      <c r="H16" s="6"/>
      <c r="I16" s="22" t="s">
        <v>110</v>
      </c>
      <c r="J16" s="32" t="s">
        <v>111</v>
      </c>
      <c r="K16" s="32" t="s">
        <v>112</v>
      </c>
      <c r="L16" s="32" t="s">
        <v>113</v>
      </c>
      <c r="M16" s="32" t="s">
        <v>114</v>
      </c>
      <c r="N16" s="37"/>
      <c r="O16" s="23"/>
      <c r="P16" s="47" t="s">
        <v>110</v>
      </c>
      <c r="Q16" s="54" t="s">
        <v>115</v>
      </c>
      <c r="R16" s="55">
        <v>544.1</v>
      </c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48">
        <f t="shared" si="0"/>
        <v>0</v>
      </c>
      <c r="AS16" s="22" t="s">
        <v>110</v>
      </c>
      <c r="AT16" s="22">
        <v>503099</v>
      </c>
      <c r="AU16" s="32"/>
      <c r="AV16" s="22">
        <f t="shared" si="1"/>
        <v>0</v>
      </c>
      <c r="AW16" s="37"/>
      <c r="AX16" s="37"/>
      <c r="AY16" s="37"/>
      <c r="AZ16" s="37"/>
      <c r="BA16" s="37"/>
      <c r="BB16" s="37"/>
      <c r="BC16" s="37"/>
      <c r="BD16" s="37"/>
      <c r="BE16" s="29">
        <f t="shared" si="2"/>
        <v>0</v>
      </c>
    </row>
    <row r="17" spans="1:57" x14ac:dyDescent="0.35">
      <c r="B17" s="11"/>
      <c r="D17" s="22" t="s">
        <v>116</v>
      </c>
      <c r="E17" s="32"/>
      <c r="F17" s="32"/>
      <c r="G17" s="33"/>
      <c r="H17" s="6"/>
      <c r="I17" s="22" t="s">
        <v>116</v>
      </c>
      <c r="J17" s="32" t="s">
        <v>117</v>
      </c>
      <c r="K17" s="34" t="s">
        <v>118</v>
      </c>
      <c r="L17" s="32" t="s">
        <v>119</v>
      </c>
      <c r="M17" s="32" t="s">
        <v>120</v>
      </c>
      <c r="N17" s="37"/>
      <c r="O17" s="23"/>
      <c r="P17" s="26" t="s">
        <v>116</v>
      </c>
      <c r="Q17" s="51" t="s">
        <v>121</v>
      </c>
      <c r="R17" s="52">
        <v>85.5</v>
      </c>
      <c r="S17" s="52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25">
        <f t="shared" si="0"/>
        <v>0</v>
      </c>
      <c r="AS17" s="22" t="s">
        <v>116</v>
      </c>
      <c r="AT17" s="22">
        <v>503099</v>
      </c>
      <c r="AU17" s="32"/>
      <c r="AV17" s="22">
        <f t="shared" si="1"/>
        <v>0</v>
      </c>
      <c r="AW17" s="37"/>
      <c r="AX17" s="37"/>
      <c r="AY17" s="37"/>
      <c r="AZ17" s="37"/>
      <c r="BA17" s="37"/>
      <c r="BB17" s="37"/>
      <c r="BC17" s="37"/>
      <c r="BD17" s="37"/>
      <c r="BE17" s="29">
        <f t="shared" si="2"/>
        <v>0</v>
      </c>
    </row>
    <row r="18" spans="1:57" x14ac:dyDescent="0.35">
      <c r="B18" s="12"/>
      <c r="D18" s="22" t="s">
        <v>122</v>
      </c>
      <c r="E18" s="32"/>
      <c r="F18" s="46"/>
      <c r="G18" s="33"/>
      <c r="H18" s="6"/>
      <c r="I18" s="22" t="s">
        <v>122</v>
      </c>
      <c r="J18" s="32" t="s">
        <v>123</v>
      </c>
      <c r="K18" s="34" t="s">
        <v>124</v>
      </c>
      <c r="L18" s="32" t="s">
        <v>125</v>
      </c>
      <c r="M18" s="32" t="s">
        <v>126</v>
      </c>
      <c r="N18" s="37"/>
      <c r="O18" s="23"/>
      <c r="P18" s="47" t="s">
        <v>122</v>
      </c>
      <c r="Q18" s="54" t="s">
        <v>127</v>
      </c>
      <c r="R18" s="55">
        <v>843</v>
      </c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48">
        <f t="shared" si="0"/>
        <v>0</v>
      </c>
      <c r="AS18" s="22" t="s">
        <v>122</v>
      </c>
      <c r="AT18" s="22">
        <v>503099</v>
      </c>
      <c r="AU18" s="32"/>
      <c r="AV18" s="22">
        <f t="shared" si="1"/>
        <v>0</v>
      </c>
      <c r="AW18" s="37"/>
      <c r="AX18" s="37"/>
      <c r="AY18" s="37"/>
      <c r="AZ18" s="37"/>
      <c r="BA18" s="37"/>
      <c r="BB18" s="37"/>
      <c r="BC18" s="37"/>
      <c r="BD18" s="37"/>
      <c r="BE18" s="29">
        <f t="shared" si="2"/>
        <v>0</v>
      </c>
    </row>
    <row r="19" spans="1:57" x14ac:dyDescent="0.35">
      <c r="A19" s="30"/>
      <c r="D19" s="22" t="s">
        <v>128</v>
      </c>
      <c r="E19" s="32"/>
      <c r="F19" s="46"/>
      <c r="G19" s="33"/>
      <c r="H19" s="6"/>
      <c r="I19" s="22" t="s">
        <v>128</v>
      </c>
      <c r="J19" s="32" t="s">
        <v>97</v>
      </c>
      <c r="K19" s="34" t="s">
        <v>129</v>
      </c>
      <c r="L19" s="32" t="s">
        <v>130</v>
      </c>
      <c r="M19" s="32" t="s">
        <v>131</v>
      </c>
      <c r="N19" s="37"/>
      <c r="O19" s="23"/>
      <c r="P19" s="26" t="s">
        <v>128</v>
      </c>
      <c r="Q19" s="51" t="s">
        <v>132</v>
      </c>
      <c r="R19" s="52">
        <v>88</v>
      </c>
      <c r="S19" s="52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25">
        <f t="shared" si="0"/>
        <v>0</v>
      </c>
      <c r="AS19" s="22" t="s">
        <v>128</v>
      </c>
      <c r="AT19" s="22">
        <v>503099</v>
      </c>
      <c r="AU19" s="32"/>
      <c r="AV19" s="22">
        <f t="shared" si="1"/>
        <v>0</v>
      </c>
      <c r="AW19" s="37"/>
      <c r="AX19" s="37"/>
      <c r="AY19" s="37"/>
      <c r="AZ19" s="37"/>
      <c r="BA19" s="37"/>
      <c r="BB19" s="37"/>
      <c r="BC19" s="37"/>
      <c r="BD19" s="37"/>
      <c r="BE19" s="29">
        <f t="shared" si="2"/>
        <v>0</v>
      </c>
    </row>
    <row r="20" spans="1:57" x14ac:dyDescent="0.35">
      <c r="D20" s="22" t="s">
        <v>133</v>
      </c>
      <c r="E20" s="32"/>
      <c r="F20" s="46"/>
      <c r="G20" s="33"/>
      <c r="H20" s="6"/>
      <c r="I20" s="22" t="s">
        <v>133</v>
      </c>
      <c r="J20" s="32" t="s">
        <v>111</v>
      </c>
      <c r="K20" s="34" t="s">
        <v>134</v>
      </c>
      <c r="L20" s="32" t="s">
        <v>135</v>
      </c>
      <c r="M20" s="32" t="s">
        <v>136</v>
      </c>
      <c r="N20" s="37"/>
      <c r="O20" s="23"/>
      <c r="P20" s="47" t="s">
        <v>133</v>
      </c>
      <c r="Q20" s="54" t="s">
        <v>137</v>
      </c>
      <c r="R20" s="55">
        <v>1401.1883</v>
      </c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48">
        <f t="shared" si="0"/>
        <v>0</v>
      </c>
      <c r="AS20" s="22" t="s">
        <v>133</v>
      </c>
      <c r="AT20" s="22">
        <v>503099</v>
      </c>
      <c r="AU20" s="32"/>
      <c r="AV20" s="22">
        <f t="shared" si="1"/>
        <v>0</v>
      </c>
      <c r="AW20" s="37"/>
      <c r="AX20" s="37"/>
      <c r="AY20" s="37"/>
      <c r="AZ20" s="37"/>
      <c r="BA20" s="37"/>
      <c r="BB20" s="37"/>
      <c r="BC20" s="37"/>
      <c r="BD20" s="37"/>
      <c r="BE20" s="29">
        <f t="shared" si="2"/>
        <v>0</v>
      </c>
    </row>
    <row r="21" spans="1:57" x14ac:dyDescent="0.35">
      <c r="D21" s="22" t="s">
        <v>138</v>
      </c>
      <c r="E21" s="32"/>
      <c r="F21" s="46"/>
      <c r="G21" s="33"/>
      <c r="H21" s="6"/>
      <c r="I21" s="22" t="s">
        <v>138</v>
      </c>
      <c r="J21" s="32" t="s">
        <v>139</v>
      </c>
      <c r="K21" s="34" t="s">
        <v>140</v>
      </c>
      <c r="L21" s="32" t="s">
        <v>141</v>
      </c>
      <c r="M21" s="32" t="s">
        <v>142</v>
      </c>
      <c r="N21" s="37"/>
      <c r="O21" s="23"/>
      <c r="P21" s="26" t="s">
        <v>138</v>
      </c>
      <c r="Q21" s="51" t="s">
        <v>143</v>
      </c>
      <c r="R21" s="52">
        <v>171</v>
      </c>
      <c r="S21" s="52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25">
        <f t="shared" si="0"/>
        <v>0</v>
      </c>
      <c r="AS21" s="22" t="s">
        <v>138</v>
      </c>
      <c r="AT21" s="22">
        <v>503099</v>
      </c>
      <c r="AU21" s="32"/>
      <c r="AV21" s="22">
        <f t="shared" si="1"/>
        <v>0</v>
      </c>
      <c r="AW21" s="37"/>
      <c r="AX21" s="37"/>
      <c r="AY21" s="37"/>
      <c r="AZ21" s="37"/>
      <c r="BA21" s="37"/>
      <c r="BB21" s="37"/>
      <c r="BC21" s="37"/>
      <c r="BD21" s="37"/>
      <c r="BE21" s="29">
        <f t="shared" si="2"/>
        <v>0</v>
      </c>
    </row>
    <row r="22" spans="1:57" x14ac:dyDescent="0.35">
      <c r="D22" s="22" t="s">
        <v>144</v>
      </c>
      <c r="E22" s="32"/>
      <c r="F22" s="46"/>
      <c r="G22" s="33"/>
      <c r="H22" s="6"/>
      <c r="I22" s="22" t="s">
        <v>144</v>
      </c>
      <c r="J22" s="32" t="s">
        <v>145</v>
      </c>
      <c r="K22" s="34" t="s">
        <v>146</v>
      </c>
      <c r="L22" s="32" t="s">
        <v>147</v>
      </c>
      <c r="M22" s="32" t="s">
        <v>148</v>
      </c>
      <c r="N22" s="37"/>
      <c r="O22" s="23"/>
      <c r="P22" s="47" t="s">
        <v>144</v>
      </c>
      <c r="Q22" s="54" t="s">
        <v>149</v>
      </c>
      <c r="R22" s="55">
        <v>10</v>
      </c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48">
        <f t="shared" si="0"/>
        <v>0</v>
      </c>
      <c r="AS22" s="22" t="s">
        <v>144</v>
      </c>
      <c r="AT22" s="22">
        <v>503099</v>
      </c>
      <c r="AU22" s="32"/>
      <c r="AV22" s="22">
        <f t="shared" si="1"/>
        <v>0</v>
      </c>
      <c r="AW22" s="37"/>
      <c r="AX22" s="37"/>
      <c r="AY22" s="37"/>
      <c r="AZ22" s="37"/>
      <c r="BA22" s="37"/>
      <c r="BB22" s="37"/>
      <c r="BC22" s="37"/>
      <c r="BD22" s="37"/>
      <c r="BE22" s="29">
        <f t="shared" si="2"/>
        <v>0</v>
      </c>
    </row>
    <row r="23" spans="1:57" x14ac:dyDescent="0.35">
      <c r="D23" s="22" t="s">
        <v>150</v>
      </c>
      <c r="E23" s="32"/>
      <c r="F23" s="46"/>
      <c r="G23" s="33"/>
      <c r="H23" s="6"/>
      <c r="I23" s="22" t="s">
        <v>150</v>
      </c>
      <c r="J23" s="32" t="s">
        <v>104</v>
      </c>
      <c r="K23" s="34" t="s">
        <v>151</v>
      </c>
      <c r="L23" s="32" t="s">
        <v>152</v>
      </c>
      <c r="M23" s="32" t="s">
        <v>153</v>
      </c>
      <c r="N23" s="37"/>
      <c r="O23" s="23"/>
      <c r="P23" s="26" t="s">
        <v>150</v>
      </c>
      <c r="Q23" s="51" t="s">
        <v>154</v>
      </c>
      <c r="R23" s="52">
        <v>18</v>
      </c>
      <c r="S23" s="52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25">
        <f t="shared" si="0"/>
        <v>0</v>
      </c>
      <c r="AS23" s="22" t="s">
        <v>150</v>
      </c>
      <c r="AT23" s="22">
        <v>503099</v>
      </c>
      <c r="AU23" s="32"/>
      <c r="AV23" s="22">
        <f t="shared" si="1"/>
        <v>0</v>
      </c>
      <c r="AW23" s="37"/>
      <c r="AX23" s="37"/>
      <c r="AY23" s="37"/>
      <c r="AZ23" s="37"/>
      <c r="BA23" s="37"/>
      <c r="BB23" s="37"/>
      <c r="BC23" s="37"/>
      <c r="BD23" s="37"/>
      <c r="BE23" s="29">
        <f t="shared" si="2"/>
        <v>0</v>
      </c>
    </row>
    <row r="24" spans="1:57" x14ac:dyDescent="0.35">
      <c r="D24" s="22" t="s">
        <v>155</v>
      </c>
      <c r="E24" s="32"/>
      <c r="F24" s="46"/>
      <c r="G24" s="33"/>
      <c r="H24" s="6"/>
      <c r="I24" s="22" t="s">
        <v>155</v>
      </c>
      <c r="J24" s="32" t="s">
        <v>156</v>
      </c>
      <c r="K24" s="34" t="s">
        <v>157</v>
      </c>
      <c r="L24" s="32" t="s">
        <v>158</v>
      </c>
      <c r="M24" s="32" t="s">
        <v>159</v>
      </c>
      <c r="N24" s="37"/>
      <c r="O24" s="23"/>
      <c r="P24" s="47" t="s">
        <v>155</v>
      </c>
      <c r="Q24" s="54" t="s">
        <v>160</v>
      </c>
      <c r="R24" s="55">
        <v>27</v>
      </c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48">
        <f t="shared" si="0"/>
        <v>0</v>
      </c>
      <c r="AS24" s="22" t="s">
        <v>155</v>
      </c>
      <c r="AT24" s="22">
        <v>503099</v>
      </c>
      <c r="AU24" s="32"/>
      <c r="AV24" s="22">
        <f t="shared" si="1"/>
        <v>0</v>
      </c>
      <c r="AW24" s="37"/>
      <c r="AX24" s="37"/>
      <c r="AY24" s="37"/>
      <c r="AZ24" s="37"/>
      <c r="BA24" s="37"/>
      <c r="BB24" s="37"/>
      <c r="BC24" s="37"/>
      <c r="BD24" s="37"/>
      <c r="BE24" s="29">
        <f t="shared" si="2"/>
        <v>0</v>
      </c>
    </row>
    <row r="25" spans="1:57" x14ac:dyDescent="0.35">
      <c r="D25" s="22" t="s">
        <v>161</v>
      </c>
      <c r="E25" s="32"/>
      <c r="F25" s="46"/>
      <c r="G25" s="33"/>
      <c r="H25" s="6"/>
      <c r="I25" s="22" t="s">
        <v>161</v>
      </c>
      <c r="J25" s="32" t="s">
        <v>162</v>
      </c>
      <c r="K25" s="34" t="s">
        <v>163</v>
      </c>
      <c r="L25" s="32" t="s">
        <v>164</v>
      </c>
      <c r="M25" s="32" t="s">
        <v>165</v>
      </c>
      <c r="N25" s="37"/>
      <c r="O25" s="23"/>
      <c r="P25" s="26" t="s">
        <v>161</v>
      </c>
      <c r="Q25" s="51" t="s">
        <v>166</v>
      </c>
      <c r="R25" s="52">
        <v>1004.33</v>
      </c>
      <c r="S25" s="52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25">
        <f t="shared" si="0"/>
        <v>0</v>
      </c>
      <c r="AS25" s="22" t="s">
        <v>161</v>
      </c>
      <c r="AT25" s="22">
        <v>503099</v>
      </c>
      <c r="AU25" s="32"/>
      <c r="AV25" s="22">
        <f t="shared" si="1"/>
        <v>0</v>
      </c>
      <c r="AW25" s="37"/>
      <c r="AX25" s="37"/>
      <c r="AY25" s="37"/>
      <c r="AZ25" s="37"/>
      <c r="BA25" s="37"/>
      <c r="BB25" s="37"/>
      <c r="BC25" s="37"/>
      <c r="BD25" s="37"/>
      <c r="BE25" s="29">
        <f t="shared" si="2"/>
        <v>0</v>
      </c>
    </row>
    <row r="26" spans="1:57" x14ac:dyDescent="0.35">
      <c r="D26" s="22" t="s">
        <v>167</v>
      </c>
      <c r="E26" s="32"/>
      <c r="F26" s="46"/>
      <c r="G26" s="33"/>
      <c r="H26" s="6"/>
      <c r="I26" s="22" t="s">
        <v>167</v>
      </c>
      <c r="J26" s="32" t="s">
        <v>123</v>
      </c>
      <c r="K26" s="34" t="s">
        <v>168</v>
      </c>
      <c r="L26" s="32" t="s">
        <v>169</v>
      </c>
      <c r="M26" s="32" t="s">
        <v>170</v>
      </c>
      <c r="N26" s="37"/>
      <c r="O26" s="23"/>
      <c r="P26" s="47" t="s">
        <v>167</v>
      </c>
      <c r="Q26" s="54" t="s">
        <v>171</v>
      </c>
      <c r="R26" s="55">
        <v>8191.4755999999998</v>
      </c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48">
        <f t="shared" si="0"/>
        <v>0</v>
      </c>
      <c r="AS26" s="22" t="s">
        <v>167</v>
      </c>
      <c r="AT26" s="22">
        <v>503099</v>
      </c>
      <c r="AU26" s="32"/>
      <c r="AV26" s="22">
        <f t="shared" si="1"/>
        <v>0</v>
      </c>
      <c r="AW26" s="37"/>
      <c r="AX26" s="37"/>
      <c r="AY26" s="37"/>
      <c r="AZ26" s="37"/>
      <c r="BA26" s="37"/>
      <c r="BB26" s="37"/>
      <c r="BC26" s="37"/>
      <c r="BD26" s="37"/>
      <c r="BE26" s="29">
        <f t="shared" si="2"/>
        <v>0</v>
      </c>
    </row>
    <row r="27" spans="1:57" x14ac:dyDescent="0.35">
      <c r="B27" s="10"/>
      <c r="D27" s="22" t="s">
        <v>172</v>
      </c>
      <c r="E27" s="32"/>
      <c r="F27" s="46"/>
      <c r="G27" s="33"/>
      <c r="H27" s="6"/>
      <c r="I27" s="22" t="s">
        <v>172</v>
      </c>
      <c r="J27" s="32" t="s">
        <v>111</v>
      </c>
      <c r="K27" s="34" t="s">
        <v>173</v>
      </c>
      <c r="L27" s="32" t="s">
        <v>174</v>
      </c>
      <c r="M27" s="32" t="s">
        <v>175</v>
      </c>
      <c r="N27" s="37"/>
      <c r="O27" s="23"/>
      <c r="P27" s="26" t="s">
        <v>172</v>
      </c>
      <c r="Q27" s="51" t="s">
        <v>176</v>
      </c>
      <c r="R27" s="52">
        <v>17.5</v>
      </c>
      <c r="S27" s="52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25">
        <f t="shared" si="0"/>
        <v>0</v>
      </c>
      <c r="AS27" s="22" t="s">
        <v>172</v>
      </c>
      <c r="AT27" s="22">
        <v>503099</v>
      </c>
      <c r="AU27" s="32"/>
      <c r="AV27" s="22">
        <f t="shared" si="1"/>
        <v>0</v>
      </c>
      <c r="AW27" s="37"/>
      <c r="AX27" s="37"/>
      <c r="AY27" s="37"/>
      <c r="AZ27" s="37"/>
      <c r="BA27" s="37"/>
      <c r="BB27" s="37"/>
      <c r="BC27" s="37"/>
      <c r="BD27" s="37"/>
      <c r="BE27" s="29">
        <f t="shared" si="2"/>
        <v>0</v>
      </c>
    </row>
    <row r="28" spans="1:57" x14ac:dyDescent="0.35">
      <c r="D28" s="22" t="s">
        <v>177</v>
      </c>
      <c r="E28" s="32"/>
      <c r="F28" s="46"/>
      <c r="G28" s="33"/>
      <c r="H28" s="6"/>
      <c r="I28" s="22" t="s">
        <v>177</v>
      </c>
      <c r="J28" s="32" t="s">
        <v>178</v>
      </c>
      <c r="K28" s="34" t="s">
        <v>179</v>
      </c>
      <c r="L28" s="32" t="s">
        <v>180</v>
      </c>
      <c r="M28" s="32" t="s">
        <v>181</v>
      </c>
      <c r="N28" s="37"/>
      <c r="O28" s="23"/>
      <c r="P28" s="47" t="s">
        <v>177</v>
      </c>
      <c r="Q28" s="54" t="s">
        <v>182</v>
      </c>
      <c r="R28" s="55">
        <v>110.5</v>
      </c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48">
        <f t="shared" si="0"/>
        <v>0</v>
      </c>
      <c r="AS28" s="22" t="s">
        <v>177</v>
      </c>
      <c r="AT28" s="22">
        <v>503099</v>
      </c>
      <c r="AU28" s="32"/>
      <c r="AV28" s="22">
        <f t="shared" si="1"/>
        <v>0</v>
      </c>
      <c r="AW28" s="37"/>
      <c r="AX28" s="37"/>
      <c r="AY28" s="37"/>
      <c r="AZ28" s="37"/>
      <c r="BA28" s="37"/>
      <c r="BB28" s="37"/>
      <c r="BC28" s="37"/>
      <c r="BD28" s="37"/>
      <c r="BE28" s="29">
        <f t="shared" si="2"/>
        <v>0</v>
      </c>
    </row>
    <row r="29" spans="1:57" x14ac:dyDescent="0.35">
      <c r="D29" s="22" t="s">
        <v>183</v>
      </c>
      <c r="E29" s="32"/>
      <c r="F29" s="46"/>
      <c r="G29" s="33"/>
      <c r="I29" s="22" t="s">
        <v>183</v>
      </c>
      <c r="J29" s="32" t="s">
        <v>184</v>
      </c>
      <c r="K29" s="34" t="s">
        <v>185</v>
      </c>
      <c r="L29" s="32" t="s">
        <v>186</v>
      </c>
      <c r="M29" s="32" t="s">
        <v>187</v>
      </c>
      <c r="N29" s="37"/>
      <c r="P29" s="26" t="s">
        <v>183</v>
      </c>
      <c r="Q29" s="51" t="s">
        <v>188</v>
      </c>
      <c r="R29" s="52">
        <v>50</v>
      </c>
      <c r="S29" s="52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25">
        <f t="shared" si="0"/>
        <v>0</v>
      </c>
      <c r="AS29" s="22" t="s">
        <v>183</v>
      </c>
      <c r="AT29" s="22">
        <v>503099</v>
      </c>
      <c r="AU29" s="32"/>
      <c r="AV29" s="22">
        <f t="shared" si="1"/>
        <v>0</v>
      </c>
      <c r="AW29" s="37"/>
      <c r="AX29" s="37"/>
      <c r="AY29" s="37"/>
      <c r="AZ29" s="37"/>
      <c r="BA29" s="37"/>
      <c r="BB29" s="37"/>
      <c r="BC29" s="37"/>
      <c r="BD29" s="37"/>
      <c r="BE29" s="29">
        <f t="shared" si="2"/>
        <v>0</v>
      </c>
    </row>
    <row r="30" spans="1:57" x14ac:dyDescent="0.35">
      <c r="D30" s="22" t="s">
        <v>189</v>
      </c>
      <c r="E30" s="32"/>
      <c r="F30" s="46"/>
      <c r="G30" s="33"/>
      <c r="I30" s="22" t="s">
        <v>189</v>
      </c>
      <c r="J30" s="32" t="s">
        <v>156</v>
      </c>
      <c r="K30" s="34" t="s">
        <v>190</v>
      </c>
      <c r="L30" s="32" t="s">
        <v>191</v>
      </c>
      <c r="M30" s="32" t="s">
        <v>192</v>
      </c>
      <c r="N30" s="37"/>
      <c r="P30" s="47" t="s">
        <v>189</v>
      </c>
      <c r="Q30" s="54" t="s">
        <v>193</v>
      </c>
      <c r="R30" s="55">
        <v>46</v>
      </c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48">
        <f t="shared" si="0"/>
        <v>0</v>
      </c>
      <c r="AS30" s="22" t="s">
        <v>189</v>
      </c>
      <c r="AT30" s="22">
        <v>503099</v>
      </c>
      <c r="AU30" s="32"/>
      <c r="AV30" s="22">
        <f t="shared" si="1"/>
        <v>0</v>
      </c>
      <c r="AW30" s="37"/>
      <c r="AX30" s="37"/>
      <c r="AY30" s="37"/>
      <c r="AZ30" s="37"/>
      <c r="BA30" s="37"/>
      <c r="BB30" s="37"/>
      <c r="BC30" s="37"/>
      <c r="BD30" s="37"/>
      <c r="BE30" s="29">
        <f t="shared" si="2"/>
        <v>0</v>
      </c>
    </row>
    <row r="31" spans="1:57" x14ac:dyDescent="0.35">
      <c r="D31" s="22" t="s">
        <v>194</v>
      </c>
      <c r="E31" s="32"/>
      <c r="F31" s="46"/>
      <c r="G31" s="33"/>
      <c r="I31" s="22" t="s">
        <v>194</v>
      </c>
      <c r="J31" s="32" t="s">
        <v>104</v>
      </c>
      <c r="K31" s="34" t="s">
        <v>195</v>
      </c>
      <c r="L31" s="32" t="s">
        <v>196</v>
      </c>
      <c r="M31" s="32" t="s">
        <v>197</v>
      </c>
      <c r="N31" s="37"/>
      <c r="P31" s="26" t="s">
        <v>194</v>
      </c>
      <c r="Q31" s="51" t="s">
        <v>198</v>
      </c>
      <c r="R31" s="52">
        <v>499.84</v>
      </c>
      <c r="S31" s="52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25">
        <f t="shared" si="0"/>
        <v>0</v>
      </c>
      <c r="AS31" s="22" t="s">
        <v>194</v>
      </c>
      <c r="AT31" s="22">
        <v>503099</v>
      </c>
      <c r="AU31" s="32"/>
      <c r="AV31" s="22">
        <f t="shared" si="1"/>
        <v>0</v>
      </c>
      <c r="AW31" s="37"/>
      <c r="AX31" s="37"/>
      <c r="AY31" s="37"/>
      <c r="AZ31" s="37"/>
      <c r="BA31" s="37"/>
      <c r="BB31" s="37"/>
      <c r="BC31" s="37"/>
      <c r="BD31" s="37"/>
      <c r="BE31" s="29">
        <f t="shared" si="2"/>
        <v>0</v>
      </c>
    </row>
    <row r="32" spans="1:57" x14ac:dyDescent="0.35">
      <c r="D32" s="22" t="s">
        <v>199</v>
      </c>
      <c r="E32" s="32"/>
      <c r="F32" s="46"/>
      <c r="G32" s="33"/>
      <c r="I32" s="22" t="s">
        <v>199</v>
      </c>
      <c r="J32" s="32" t="s">
        <v>84</v>
      </c>
      <c r="K32" s="34" t="s">
        <v>200</v>
      </c>
      <c r="L32" s="32" t="s">
        <v>201</v>
      </c>
      <c r="M32" s="32" t="s">
        <v>202</v>
      </c>
      <c r="N32" s="37"/>
      <c r="P32" s="47" t="s">
        <v>199</v>
      </c>
      <c r="Q32" s="54" t="s">
        <v>203</v>
      </c>
      <c r="R32" s="55">
        <v>2226.5500000000002</v>
      </c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48">
        <f t="shared" si="0"/>
        <v>0</v>
      </c>
      <c r="AS32" s="22" t="s">
        <v>199</v>
      </c>
      <c r="AT32" s="22">
        <v>503099</v>
      </c>
      <c r="AU32" s="32"/>
      <c r="AV32" s="22">
        <f t="shared" si="1"/>
        <v>0</v>
      </c>
      <c r="AW32" s="37"/>
      <c r="AX32" s="37"/>
      <c r="AY32" s="37"/>
      <c r="AZ32" s="37"/>
      <c r="BA32" s="37"/>
      <c r="BB32" s="37"/>
      <c r="BC32" s="37"/>
      <c r="BD32" s="37"/>
      <c r="BE32" s="29">
        <f t="shared" si="2"/>
        <v>0</v>
      </c>
    </row>
    <row r="33" spans="4:57" x14ac:dyDescent="0.35">
      <c r="D33" s="22" t="s">
        <v>204</v>
      </c>
      <c r="E33" s="32"/>
      <c r="F33" s="46"/>
      <c r="G33" s="33"/>
      <c r="I33" s="22" t="s">
        <v>204</v>
      </c>
      <c r="J33" s="32" t="s">
        <v>97</v>
      </c>
      <c r="K33" s="34" t="s">
        <v>205</v>
      </c>
      <c r="L33" s="32" t="s">
        <v>206</v>
      </c>
      <c r="M33" s="32" t="s">
        <v>207</v>
      </c>
      <c r="N33" s="37"/>
      <c r="P33" s="26" t="s">
        <v>204</v>
      </c>
      <c r="Q33" s="51" t="s">
        <v>208</v>
      </c>
      <c r="R33" s="52">
        <v>28.5</v>
      </c>
      <c r="S33" s="52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25">
        <f t="shared" si="0"/>
        <v>0</v>
      </c>
      <c r="AS33" s="22" t="s">
        <v>204</v>
      </c>
      <c r="AT33" s="22">
        <v>503099</v>
      </c>
      <c r="AU33" s="32"/>
      <c r="AV33" s="22">
        <f t="shared" si="1"/>
        <v>0</v>
      </c>
      <c r="AW33" s="37"/>
      <c r="AX33" s="37"/>
      <c r="AY33" s="37"/>
      <c r="AZ33" s="37"/>
      <c r="BA33" s="37"/>
      <c r="BB33" s="37"/>
      <c r="BC33" s="37"/>
      <c r="BD33" s="37"/>
      <c r="BE33" s="29">
        <f t="shared" si="2"/>
        <v>0</v>
      </c>
    </row>
    <row r="34" spans="4:57" x14ac:dyDescent="0.35">
      <c r="D34" s="22" t="s">
        <v>209</v>
      </c>
      <c r="E34" s="32"/>
      <c r="F34" s="46"/>
      <c r="G34" s="33"/>
      <c r="I34" s="22" t="s">
        <v>209</v>
      </c>
      <c r="J34" s="32" t="s">
        <v>111</v>
      </c>
      <c r="K34" s="34" t="s">
        <v>210</v>
      </c>
      <c r="L34" s="32" t="s">
        <v>211</v>
      </c>
      <c r="M34" s="32" t="s">
        <v>212</v>
      </c>
      <c r="N34" s="37"/>
      <c r="P34" s="47" t="s">
        <v>209</v>
      </c>
      <c r="Q34" s="54" t="s">
        <v>213</v>
      </c>
      <c r="R34" s="55">
        <v>325</v>
      </c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48">
        <f t="shared" si="0"/>
        <v>0</v>
      </c>
      <c r="AS34" s="22" t="s">
        <v>209</v>
      </c>
      <c r="AT34" s="22">
        <v>503099</v>
      </c>
      <c r="AU34" s="32"/>
      <c r="AV34" s="22">
        <f t="shared" si="1"/>
        <v>0</v>
      </c>
      <c r="AW34" s="37"/>
      <c r="AX34" s="37"/>
      <c r="AY34" s="37"/>
      <c r="AZ34" s="37"/>
      <c r="BA34" s="37"/>
      <c r="BB34" s="37"/>
      <c r="BC34" s="37"/>
      <c r="BD34" s="37"/>
      <c r="BE34" s="29">
        <f t="shared" si="2"/>
        <v>0</v>
      </c>
    </row>
    <row r="35" spans="4:57" x14ac:dyDescent="0.35">
      <c r="D35" s="22" t="s">
        <v>214</v>
      </c>
      <c r="E35" s="32"/>
      <c r="F35" s="46"/>
      <c r="G35" s="33"/>
      <c r="I35" s="22" t="s">
        <v>214</v>
      </c>
      <c r="J35" s="32" t="s">
        <v>215</v>
      </c>
      <c r="K35" s="34" t="s">
        <v>216</v>
      </c>
      <c r="L35" s="32" t="s">
        <v>217</v>
      </c>
      <c r="M35" s="32" t="s">
        <v>218</v>
      </c>
      <c r="N35" s="37"/>
      <c r="P35" s="26" t="s">
        <v>214</v>
      </c>
      <c r="Q35" s="51" t="s">
        <v>219</v>
      </c>
      <c r="R35" s="52">
        <v>772.78610000000003</v>
      </c>
      <c r="S35" s="52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25">
        <f t="shared" si="0"/>
        <v>0</v>
      </c>
      <c r="AS35" s="22" t="s">
        <v>214</v>
      </c>
      <c r="AT35" s="22">
        <v>503099</v>
      </c>
      <c r="AU35" s="32"/>
      <c r="AV35" s="22">
        <f t="shared" si="1"/>
        <v>0</v>
      </c>
      <c r="AW35" s="37"/>
      <c r="AX35" s="37"/>
      <c r="AY35" s="37"/>
      <c r="AZ35" s="37"/>
      <c r="BA35" s="37"/>
      <c r="BB35" s="37"/>
      <c r="BC35" s="37"/>
      <c r="BD35" s="37"/>
      <c r="BE35" s="29">
        <f t="shared" si="2"/>
        <v>0</v>
      </c>
    </row>
    <row r="36" spans="4:57" x14ac:dyDescent="0.35">
      <c r="D36" s="22" t="s">
        <v>220</v>
      </c>
      <c r="E36" s="32"/>
      <c r="F36" s="46"/>
      <c r="G36" s="33"/>
      <c r="I36" s="22" t="s">
        <v>220</v>
      </c>
      <c r="J36" s="32" t="s">
        <v>84</v>
      </c>
      <c r="K36" s="34" t="s">
        <v>221</v>
      </c>
      <c r="L36" s="32" t="s">
        <v>222</v>
      </c>
      <c r="M36" s="32" t="s">
        <v>223</v>
      </c>
      <c r="N36" s="37"/>
      <c r="P36" s="47" t="s">
        <v>220</v>
      </c>
      <c r="Q36" s="54" t="s">
        <v>224</v>
      </c>
      <c r="R36" s="55">
        <v>1182.6600000000001</v>
      </c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48">
        <f t="shared" si="0"/>
        <v>0</v>
      </c>
      <c r="AS36" s="22" t="s">
        <v>220</v>
      </c>
      <c r="AT36" s="22">
        <v>503099</v>
      </c>
      <c r="AU36" s="32"/>
      <c r="AV36" s="22">
        <f t="shared" si="1"/>
        <v>0</v>
      </c>
      <c r="AW36" s="37"/>
      <c r="AX36" s="37"/>
      <c r="AY36" s="37"/>
      <c r="AZ36" s="37"/>
      <c r="BA36" s="37"/>
      <c r="BB36" s="37"/>
      <c r="BC36" s="37"/>
      <c r="BD36" s="37"/>
      <c r="BE36" s="29">
        <f t="shared" si="2"/>
        <v>0</v>
      </c>
    </row>
    <row r="37" spans="4:57" x14ac:dyDescent="0.35">
      <c r="D37" s="22" t="s">
        <v>225</v>
      </c>
      <c r="E37" s="32"/>
      <c r="F37" s="46"/>
      <c r="G37" s="33"/>
      <c r="I37" s="22" t="s">
        <v>225</v>
      </c>
      <c r="J37" s="32" t="s">
        <v>178</v>
      </c>
      <c r="K37" s="34" t="s">
        <v>226</v>
      </c>
      <c r="L37" s="32" t="s">
        <v>227</v>
      </c>
      <c r="M37" s="32" t="s">
        <v>228</v>
      </c>
      <c r="N37" s="37"/>
      <c r="P37" s="26" t="s">
        <v>225</v>
      </c>
      <c r="Q37" s="51" t="s">
        <v>229</v>
      </c>
      <c r="R37" s="52">
        <v>170</v>
      </c>
      <c r="S37" s="52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25">
        <f t="shared" si="0"/>
        <v>0</v>
      </c>
      <c r="AS37" s="22" t="s">
        <v>225</v>
      </c>
      <c r="AT37" s="22">
        <v>503099</v>
      </c>
      <c r="AU37" s="32"/>
      <c r="AV37" s="22">
        <f t="shared" si="1"/>
        <v>0</v>
      </c>
      <c r="AW37" s="37"/>
      <c r="AX37" s="37"/>
      <c r="AY37" s="37"/>
      <c r="AZ37" s="37"/>
      <c r="BA37" s="37"/>
      <c r="BB37" s="37"/>
      <c r="BC37" s="37"/>
      <c r="BD37" s="37"/>
      <c r="BE37" s="29">
        <f t="shared" si="2"/>
        <v>0</v>
      </c>
    </row>
    <row r="38" spans="4:57" x14ac:dyDescent="0.35">
      <c r="D38" s="22" t="s">
        <v>230</v>
      </c>
      <c r="E38" s="32"/>
      <c r="F38" s="46"/>
      <c r="G38" s="33"/>
      <c r="I38" s="22" t="s">
        <v>230</v>
      </c>
      <c r="J38" s="32" t="s">
        <v>231</v>
      </c>
      <c r="K38" s="34" t="s">
        <v>232</v>
      </c>
      <c r="L38" s="32" t="s">
        <v>233</v>
      </c>
      <c r="M38" s="32" t="s">
        <v>234</v>
      </c>
      <c r="N38" s="37"/>
      <c r="P38" s="47" t="s">
        <v>230</v>
      </c>
      <c r="Q38" s="54" t="s">
        <v>235</v>
      </c>
      <c r="R38" s="55">
        <v>26.25</v>
      </c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48">
        <f t="shared" si="0"/>
        <v>0</v>
      </c>
      <c r="AS38" s="22" t="s">
        <v>230</v>
      </c>
      <c r="AT38" s="22">
        <v>503099</v>
      </c>
      <c r="AU38" s="32"/>
      <c r="AV38" s="22">
        <f t="shared" si="1"/>
        <v>0</v>
      </c>
      <c r="AW38" s="37"/>
      <c r="AX38" s="37"/>
      <c r="AY38" s="37"/>
      <c r="AZ38" s="37"/>
      <c r="BA38" s="37"/>
      <c r="BB38" s="37"/>
      <c r="BC38" s="37"/>
      <c r="BD38" s="37"/>
      <c r="BE38" s="29">
        <f t="shared" si="2"/>
        <v>0</v>
      </c>
    </row>
    <row r="39" spans="4:57" x14ac:dyDescent="0.35">
      <c r="D39" s="22" t="s">
        <v>236</v>
      </c>
      <c r="E39" s="32"/>
      <c r="F39" s="46"/>
      <c r="G39" s="33"/>
      <c r="I39" s="22" t="s">
        <v>236</v>
      </c>
      <c r="J39" s="32" t="s">
        <v>237</v>
      </c>
      <c r="K39" s="34" t="s">
        <v>238</v>
      </c>
      <c r="L39" s="32" t="s">
        <v>239</v>
      </c>
      <c r="M39" s="32" t="s">
        <v>240</v>
      </c>
      <c r="N39" s="37"/>
      <c r="P39" s="26" t="s">
        <v>236</v>
      </c>
      <c r="Q39" s="51" t="s">
        <v>241</v>
      </c>
      <c r="R39" s="52">
        <v>20</v>
      </c>
      <c r="S39" s="52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25">
        <f t="shared" si="0"/>
        <v>0</v>
      </c>
      <c r="AS39" s="22" t="s">
        <v>236</v>
      </c>
      <c r="AT39" s="22">
        <v>503099</v>
      </c>
      <c r="AU39" s="32"/>
      <c r="AV39" s="22">
        <f t="shared" si="1"/>
        <v>0</v>
      </c>
      <c r="AW39" s="37"/>
      <c r="AX39" s="37"/>
      <c r="AY39" s="37"/>
      <c r="AZ39" s="37"/>
      <c r="BA39" s="37"/>
      <c r="BB39" s="37"/>
      <c r="BC39" s="37"/>
      <c r="BD39" s="37"/>
      <c r="BE39" s="29">
        <f t="shared" si="2"/>
        <v>0</v>
      </c>
    </row>
    <row r="40" spans="4:57" x14ac:dyDescent="0.35">
      <c r="D40" s="22" t="s">
        <v>242</v>
      </c>
      <c r="E40" s="32"/>
      <c r="F40" s="46"/>
      <c r="G40" s="33"/>
      <c r="I40" s="22" t="s">
        <v>242</v>
      </c>
      <c r="J40" s="32" t="s">
        <v>111</v>
      </c>
      <c r="K40" s="34" t="s">
        <v>243</v>
      </c>
      <c r="L40" s="32" t="s">
        <v>244</v>
      </c>
      <c r="M40" s="32" t="s">
        <v>245</v>
      </c>
      <c r="N40" s="37"/>
      <c r="P40" s="47" t="s">
        <v>242</v>
      </c>
      <c r="Q40" s="54" t="s">
        <v>246</v>
      </c>
      <c r="R40" s="55">
        <v>795</v>
      </c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48">
        <f t="shared" si="0"/>
        <v>0</v>
      </c>
      <c r="AS40" s="22" t="s">
        <v>242</v>
      </c>
      <c r="AT40" s="22">
        <v>503099</v>
      </c>
      <c r="AU40" s="32"/>
      <c r="AV40" s="22">
        <f t="shared" si="1"/>
        <v>0</v>
      </c>
      <c r="AW40" s="37"/>
      <c r="AX40" s="37"/>
      <c r="AY40" s="37"/>
      <c r="AZ40" s="37"/>
      <c r="BA40" s="37"/>
      <c r="BB40" s="37"/>
      <c r="BC40" s="37"/>
      <c r="BD40" s="37"/>
      <c r="BE40" s="29">
        <f t="shared" si="2"/>
        <v>0</v>
      </c>
    </row>
    <row r="41" spans="4:57" x14ac:dyDescent="0.35">
      <c r="D41" s="22" t="s">
        <v>247</v>
      </c>
      <c r="E41" s="32"/>
      <c r="F41" s="46"/>
      <c r="G41" s="33"/>
      <c r="I41" s="22" t="s">
        <v>247</v>
      </c>
      <c r="J41" s="32" t="s">
        <v>61</v>
      </c>
      <c r="K41" s="34" t="s">
        <v>248</v>
      </c>
      <c r="L41" s="32" t="s">
        <v>249</v>
      </c>
      <c r="M41" s="32" t="s">
        <v>250</v>
      </c>
      <c r="N41" s="37"/>
      <c r="P41" s="26" t="s">
        <v>247</v>
      </c>
      <c r="Q41" s="51" t="s">
        <v>251</v>
      </c>
      <c r="R41" s="52">
        <v>174</v>
      </c>
      <c r="S41" s="52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25">
        <f t="shared" ref="AQ41:AQ72" si="3">$R$8*R41+$S$8*S41+$T$8*T41+$U$8*U41+$V$8*V41+$W$8*W41+$X$8*X41+$Y$8*Y41+$Z$8*Z41+$AA$8*AA41+$AB$8*AB41+$AC$8*AC41+$AD$8*AD41+$AE$8*AE41+$AF$8*AF41+$AG$8*AG41+$AH$8*AH41+$AI$8*AI41+$AJ$8*AJ41+$AP$8*AP41+$AK$8*AK41+$AL$8*AL41+$AM$8*AM41+$AN$8*AN41+$AO$8*AO41</f>
        <v>0</v>
      </c>
      <c r="AS41" s="22" t="s">
        <v>247</v>
      </c>
      <c r="AT41" s="22">
        <v>503099</v>
      </c>
      <c r="AU41" s="32"/>
      <c r="AV41" s="22">
        <f t="shared" ref="AV41:AV72" si="4">AQ41</f>
        <v>0</v>
      </c>
      <c r="AW41" s="37"/>
      <c r="AX41" s="37"/>
      <c r="AY41" s="37"/>
      <c r="AZ41" s="37"/>
      <c r="BA41" s="37"/>
      <c r="BB41" s="37"/>
      <c r="BC41" s="37"/>
      <c r="BD41" s="37"/>
      <c r="BE41" s="29">
        <f t="shared" ref="BE41:BE72" si="5">AV41+AX41+AZ41+BB41+BD41</f>
        <v>0</v>
      </c>
    </row>
    <row r="42" spans="4:57" x14ac:dyDescent="0.35">
      <c r="D42" s="22" t="s">
        <v>252</v>
      </c>
      <c r="E42" s="32"/>
      <c r="F42" s="46"/>
      <c r="G42" s="33"/>
      <c r="I42" s="22" t="s">
        <v>252</v>
      </c>
      <c r="J42" s="32" t="s">
        <v>253</v>
      </c>
      <c r="K42" s="34" t="s">
        <v>254</v>
      </c>
      <c r="L42" s="32" t="s">
        <v>255</v>
      </c>
      <c r="M42" s="32" t="s">
        <v>256</v>
      </c>
      <c r="N42" s="37"/>
      <c r="P42" s="47" t="s">
        <v>252</v>
      </c>
      <c r="Q42" s="54" t="s">
        <v>257</v>
      </c>
      <c r="R42" s="55">
        <v>67</v>
      </c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48">
        <f t="shared" si="3"/>
        <v>0</v>
      </c>
      <c r="AS42" s="22" t="s">
        <v>252</v>
      </c>
      <c r="AT42" s="22">
        <v>503099</v>
      </c>
      <c r="AU42" s="32"/>
      <c r="AV42" s="22">
        <f t="shared" si="4"/>
        <v>0</v>
      </c>
      <c r="AW42" s="37"/>
      <c r="AX42" s="37"/>
      <c r="AY42" s="37"/>
      <c r="AZ42" s="37"/>
      <c r="BA42" s="37"/>
      <c r="BB42" s="37"/>
      <c r="BC42" s="37"/>
      <c r="BD42" s="37"/>
      <c r="BE42" s="29">
        <f t="shared" si="5"/>
        <v>0</v>
      </c>
    </row>
    <row r="43" spans="4:57" x14ac:dyDescent="0.35">
      <c r="D43" s="22" t="s">
        <v>258</v>
      </c>
      <c r="E43" s="32"/>
      <c r="F43" s="46"/>
      <c r="G43" s="33"/>
      <c r="I43" s="22" t="s">
        <v>258</v>
      </c>
      <c r="J43" s="32" t="s">
        <v>61</v>
      </c>
      <c r="K43" s="34" t="s">
        <v>259</v>
      </c>
      <c r="L43" s="32" t="s">
        <v>260</v>
      </c>
      <c r="M43" s="32" t="s">
        <v>261</v>
      </c>
      <c r="N43" s="37"/>
      <c r="P43" s="26" t="s">
        <v>258</v>
      </c>
      <c r="Q43" s="51" t="s">
        <v>262</v>
      </c>
      <c r="R43" s="52">
        <v>127.02</v>
      </c>
      <c r="S43" s="52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25">
        <f t="shared" si="3"/>
        <v>0</v>
      </c>
      <c r="AS43" s="22" t="s">
        <v>258</v>
      </c>
      <c r="AT43" s="22">
        <v>503099</v>
      </c>
      <c r="AU43" s="32"/>
      <c r="AV43" s="22">
        <f t="shared" si="4"/>
        <v>0</v>
      </c>
      <c r="AW43" s="37"/>
      <c r="AX43" s="37"/>
      <c r="AY43" s="37"/>
      <c r="AZ43" s="37"/>
      <c r="BA43" s="37"/>
      <c r="BB43" s="37"/>
      <c r="BC43" s="37"/>
      <c r="BD43" s="37"/>
      <c r="BE43" s="29">
        <f t="shared" si="5"/>
        <v>0</v>
      </c>
    </row>
    <row r="44" spans="4:57" x14ac:dyDescent="0.35">
      <c r="D44" s="22" t="s">
        <v>263</v>
      </c>
      <c r="E44" s="32"/>
      <c r="F44" s="46"/>
      <c r="G44" s="33"/>
      <c r="I44" s="22" t="s">
        <v>263</v>
      </c>
      <c r="J44" s="32" t="s">
        <v>264</v>
      </c>
      <c r="K44" s="34" t="s">
        <v>265</v>
      </c>
      <c r="L44" s="32" t="s">
        <v>266</v>
      </c>
      <c r="M44" s="32" t="s">
        <v>267</v>
      </c>
      <c r="N44" s="37"/>
      <c r="P44" s="47" t="s">
        <v>263</v>
      </c>
      <c r="Q44" s="54" t="s">
        <v>268</v>
      </c>
      <c r="R44" s="55">
        <v>44</v>
      </c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48">
        <f t="shared" si="3"/>
        <v>0</v>
      </c>
      <c r="AS44" s="22" t="s">
        <v>263</v>
      </c>
      <c r="AT44" s="22">
        <v>503099</v>
      </c>
      <c r="AU44" s="32"/>
      <c r="AV44" s="22">
        <f t="shared" si="4"/>
        <v>0</v>
      </c>
      <c r="AW44" s="37"/>
      <c r="AX44" s="37"/>
      <c r="AY44" s="37"/>
      <c r="AZ44" s="37"/>
      <c r="BA44" s="37"/>
      <c r="BB44" s="37"/>
      <c r="BC44" s="37"/>
      <c r="BD44" s="37"/>
      <c r="BE44" s="29">
        <f t="shared" si="5"/>
        <v>0</v>
      </c>
    </row>
    <row r="45" spans="4:57" x14ac:dyDescent="0.35">
      <c r="D45" s="22" t="s">
        <v>269</v>
      </c>
      <c r="E45" s="32"/>
      <c r="F45" s="46"/>
      <c r="G45" s="33"/>
      <c r="I45" s="22" t="s">
        <v>269</v>
      </c>
      <c r="J45" s="32" t="s">
        <v>84</v>
      </c>
      <c r="K45" s="34" t="s">
        <v>270</v>
      </c>
      <c r="L45" s="32" t="s">
        <v>271</v>
      </c>
      <c r="M45" s="32" t="s">
        <v>272</v>
      </c>
      <c r="N45" s="37"/>
      <c r="P45" s="26" t="s">
        <v>269</v>
      </c>
      <c r="Q45" s="51" t="s">
        <v>273</v>
      </c>
      <c r="R45" s="52">
        <v>597</v>
      </c>
      <c r="S45" s="52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25">
        <f t="shared" si="3"/>
        <v>0</v>
      </c>
      <c r="AS45" s="22" t="s">
        <v>269</v>
      </c>
      <c r="AT45" s="22">
        <v>503099</v>
      </c>
      <c r="AU45" s="32"/>
      <c r="AV45" s="22">
        <f t="shared" si="4"/>
        <v>0</v>
      </c>
      <c r="AW45" s="37"/>
      <c r="AX45" s="37"/>
      <c r="AY45" s="37"/>
      <c r="AZ45" s="37"/>
      <c r="BA45" s="37"/>
      <c r="BB45" s="37"/>
      <c r="BC45" s="37"/>
      <c r="BD45" s="37"/>
      <c r="BE45" s="29">
        <f t="shared" si="5"/>
        <v>0</v>
      </c>
    </row>
    <row r="46" spans="4:57" x14ac:dyDescent="0.35">
      <c r="D46" s="22" t="s">
        <v>274</v>
      </c>
      <c r="E46" s="32"/>
      <c r="F46" s="46"/>
      <c r="G46" s="33"/>
      <c r="I46" s="22" t="s">
        <v>274</v>
      </c>
      <c r="J46" s="32" t="s">
        <v>97</v>
      </c>
      <c r="K46" s="34" t="s">
        <v>275</v>
      </c>
      <c r="L46" s="32" t="s">
        <v>276</v>
      </c>
      <c r="M46" s="32" t="s">
        <v>277</v>
      </c>
      <c r="N46" s="37"/>
      <c r="P46" s="47" t="s">
        <v>274</v>
      </c>
      <c r="Q46" s="54" t="s">
        <v>278</v>
      </c>
      <c r="R46" s="55">
        <v>382</v>
      </c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48">
        <f t="shared" si="3"/>
        <v>0</v>
      </c>
      <c r="AS46" s="22" t="s">
        <v>274</v>
      </c>
      <c r="AT46" s="22">
        <v>503099</v>
      </c>
      <c r="AU46" s="32"/>
      <c r="AV46" s="22">
        <f t="shared" si="4"/>
        <v>0</v>
      </c>
      <c r="AW46" s="37"/>
      <c r="AX46" s="37"/>
      <c r="AY46" s="37"/>
      <c r="AZ46" s="37"/>
      <c r="BA46" s="37"/>
      <c r="BB46" s="37"/>
      <c r="BC46" s="37"/>
      <c r="BD46" s="37"/>
      <c r="BE46" s="29">
        <f t="shared" si="5"/>
        <v>0</v>
      </c>
    </row>
    <row r="47" spans="4:57" x14ac:dyDescent="0.35">
      <c r="D47" s="22" t="s">
        <v>279</v>
      </c>
      <c r="E47" s="32"/>
      <c r="F47" s="46"/>
      <c r="G47" s="33"/>
      <c r="I47" s="22" t="s">
        <v>279</v>
      </c>
      <c r="J47" s="32" t="s">
        <v>104</v>
      </c>
      <c r="K47" s="34" t="s">
        <v>280</v>
      </c>
      <c r="L47" s="32" t="s">
        <v>281</v>
      </c>
      <c r="M47" s="32" t="s">
        <v>282</v>
      </c>
      <c r="N47" s="37"/>
      <c r="P47" s="26" t="s">
        <v>279</v>
      </c>
      <c r="Q47" s="51" t="s">
        <v>283</v>
      </c>
      <c r="R47" s="52">
        <v>175.08</v>
      </c>
      <c r="S47" s="52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25">
        <f t="shared" si="3"/>
        <v>0</v>
      </c>
      <c r="AS47" s="22" t="s">
        <v>279</v>
      </c>
      <c r="AT47" s="22">
        <v>503099</v>
      </c>
      <c r="AU47" s="32"/>
      <c r="AV47" s="22">
        <f t="shared" si="4"/>
        <v>0</v>
      </c>
      <c r="AW47" s="37"/>
      <c r="AX47" s="37"/>
      <c r="AY47" s="37"/>
      <c r="AZ47" s="37"/>
      <c r="BA47" s="37"/>
      <c r="BB47" s="37"/>
      <c r="BC47" s="37"/>
      <c r="BD47" s="37"/>
      <c r="BE47" s="29">
        <f t="shared" si="5"/>
        <v>0</v>
      </c>
    </row>
    <row r="48" spans="4:57" x14ac:dyDescent="0.35">
      <c r="D48" s="22" t="s">
        <v>284</v>
      </c>
      <c r="E48" s="32"/>
      <c r="F48" s="46"/>
      <c r="G48" s="33"/>
      <c r="I48" s="22" t="s">
        <v>284</v>
      </c>
      <c r="J48" s="32" t="s">
        <v>117</v>
      </c>
      <c r="K48" s="34" t="s">
        <v>285</v>
      </c>
      <c r="L48" s="32" t="s">
        <v>286</v>
      </c>
      <c r="M48" s="32" t="s">
        <v>287</v>
      </c>
      <c r="N48" s="37"/>
      <c r="P48" s="47" t="s">
        <v>284</v>
      </c>
      <c r="Q48" s="54" t="s">
        <v>288</v>
      </c>
      <c r="R48" s="55">
        <v>39</v>
      </c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48">
        <f t="shared" si="3"/>
        <v>0</v>
      </c>
      <c r="AS48" s="22" t="s">
        <v>284</v>
      </c>
      <c r="AT48" s="22">
        <v>503099</v>
      </c>
      <c r="AU48" s="32"/>
      <c r="AV48" s="22">
        <f t="shared" si="4"/>
        <v>0</v>
      </c>
      <c r="AW48" s="37"/>
      <c r="AX48" s="37"/>
      <c r="AY48" s="37"/>
      <c r="AZ48" s="37"/>
      <c r="BA48" s="37"/>
      <c r="BB48" s="37"/>
      <c r="BC48" s="37"/>
      <c r="BD48" s="37"/>
      <c r="BE48" s="29">
        <f t="shared" si="5"/>
        <v>0</v>
      </c>
    </row>
    <row r="49" spans="4:57" x14ac:dyDescent="0.35">
      <c r="D49" s="22" t="s">
        <v>289</v>
      </c>
      <c r="E49" s="32"/>
      <c r="F49" s="46"/>
      <c r="G49" s="33"/>
      <c r="I49" s="22" t="s">
        <v>289</v>
      </c>
      <c r="J49" s="32" t="s">
        <v>97</v>
      </c>
      <c r="K49" s="34" t="s">
        <v>290</v>
      </c>
      <c r="L49" s="32" t="s">
        <v>291</v>
      </c>
      <c r="M49" s="32" t="s">
        <v>292</v>
      </c>
      <c r="N49" s="37"/>
      <c r="P49" s="26" t="s">
        <v>289</v>
      </c>
      <c r="Q49" s="51" t="s">
        <v>293</v>
      </c>
      <c r="R49" s="52">
        <v>91.85</v>
      </c>
      <c r="S49" s="52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25">
        <f t="shared" si="3"/>
        <v>0</v>
      </c>
      <c r="AS49" s="22" t="s">
        <v>289</v>
      </c>
      <c r="AT49" s="22">
        <v>503099</v>
      </c>
      <c r="AU49" s="32"/>
      <c r="AV49" s="22">
        <f t="shared" si="4"/>
        <v>0</v>
      </c>
      <c r="AW49" s="37"/>
      <c r="AX49" s="37"/>
      <c r="AY49" s="37"/>
      <c r="AZ49" s="37"/>
      <c r="BA49" s="37"/>
      <c r="BB49" s="37"/>
      <c r="BC49" s="37"/>
      <c r="BD49" s="37"/>
      <c r="BE49" s="29">
        <f t="shared" si="5"/>
        <v>0</v>
      </c>
    </row>
    <row r="50" spans="4:57" x14ac:dyDescent="0.35">
      <c r="D50" s="22" t="s">
        <v>294</v>
      </c>
      <c r="E50" s="32"/>
      <c r="F50" s="46"/>
      <c r="G50" s="33"/>
      <c r="I50" s="22" t="s">
        <v>294</v>
      </c>
      <c r="J50" s="32" t="s">
        <v>84</v>
      </c>
      <c r="K50" s="34" t="s">
        <v>295</v>
      </c>
      <c r="L50" s="32" t="s">
        <v>296</v>
      </c>
      <c r="M50" s="32" t="s">
        <v>297</v>
      </c>
      <c r="N50" s="37"/>
      <c r="P50" s="47" t="s">
        <v>294</v>
      </c>
      <c r="Q50" s="54" t="s">
        <v>298</v>
      </c>
      <c r="R50" s="55">
        <v>707.18</v>
      </c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48">
        <f t="shared" si="3"/>
        <v>0</v>
      </c>
      <c r="AS50" s="22" t="s">
        <v>294</v>
      </c>
      <c r="AT50" s="22">
        <v>503099</v>
      </c>
      <c r="AU50" s="32"/>
      <c r="AV50" s="22">
        <f t="shared" si="4"/>
        <v>0</v>
      </c>
      <c r="AW50" s="37"/>
      <c r="AX50" s="37"/>
      <c r="AY50" s="37"/>
      <c r="AZ50" s="37"/>
      <c r="BA50" s="37"/>
      <c r="BB50" s="37"/>
      <c r="BC50" s="37"/>
      <c r="BD50" s="37"/>
      <c r="BE50" s="29">
        <f t="shared" si="5"/>
        <v>0</v>
      </c>
    </row>
    <row r="51" spans="4:57" x14ac:dyDescent="0.35">
      <c r="D51" s="22" t="s">
        <v>299</v>
      </c>
      <c r="E51" s="32"/>
      <c r="F51" s="46"/>
      <c r="G51" s="33"/>
      <c r="I51" s="22" t="s">
        <v>299</v>
      </c>
      <c r="J51" s="32" t="s">
        <v>84</v>
      </c>
      <c r="K51" s="34" t="s">
        <v>295</v>
      </c>
      <c r="L51" s="32" t="s">
        <v>296</v>
      </c>
      <c r="M51" s="32" t="s">
        <v>300</v>
      </c>
      <c r="N51" s="37"/>
      <c r="P51" s="26" t="s">
        <v>299</v>
      </c>
      <c r="Q51" s="51" t="s">
        <v>301</v>
      </c>
      <c r="R51" s="52">
        <v>2721.5</v>
      </c>
      <c r="S51" s="52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25">
        <f t="shared" si="3"/>
        <v>0</v>
      </c>
      <c r="AS51" s="22" t="s">
        <v>299</v>
      </c>
      <c r="AT51" s="22">
        <v>503099</v>
      </c>
      <c r="AU51" s="32"/>
      <c r="AV51" s="22">
        <f t="shared" si="4"/>
        <v>0</v>
      </c>
      <c r="AW51" s="37"/>
      <c r="AX51" s="37"/>
      <c r="AY51" s="37"/>
      <c r="AZ51" s="37"/>
      <c r="BA51" s="37"/>
      <c r="BB51" s="37"/>
      <c r="BC51" s="37"/>
      <c r="BD51" s="37"/>
      <c r="BE51" s="29">
        <f t="shared" si="5"/>
        <v>0</v>
      </c>
    </row>
    <row r="52" spans="4:57" x14ac:dyDescent="0.35">
      <c r="D52" s="22" t="s">
        <v>302</v>
      </c>
      <c r="E52" s="32"/>
      <c r="F52" s="46"/>
      <c r="G52" s="33"/>
      <c r="I52" s="22" t="s">
        <v>302</v>
      </c>
      <c r="J52" s="32" t="s">
        <v>77</v>
      </c>
      <c r="K52" s="34" t="s">
        <v>303</v>
      </c>
      <c r="L52" s="32" t="s">
        <v>276</v>
      </c>
      <c r="M52" s="32" t="s">
        <v>304</v>
      </c>
      <c r="N52" s="37"/>
      <c r="P52" s="47" t="s">
        <v>302</v>
      </c>
      <c r="Q52" s="54" t="s">
        <v>305</v>
      </c>
      <c r="R52" s="55">
        <v>109.5</v>
      </c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48">
        <f t="shared" si="3"/>
        <v>0</v>
      </c>
      <c r="AS52" s="22" t="s">
        <v>302</v>
      </c>
      <c r="AT52" s="22">
        <v>503099</v>
      </c>
      <c r="AU52" s="32"/>
      <c r="AV52" s="22">
        <f t="shared" si="4"/>
        <v>0</v>
      </c>
      <c r="AW52" s="37"/>
      <c r="AX52" s="37"/>
      <c r="AY52" s="37"/>
      <c r="AZ52" s="37"/>
      <c r="BA52" s="37"/>
      <c r="BB52" s="37"/>
      <c r="BC52" s="37"/>
      <c r="BD52" s="37"/>
      <c r="BE52" s="29">
        <f t="shared" si="5"/>
        <v>0</v>
      </c>
    </row>
    <row r="53" spans="4:57" x14ac:dyDescent="0.35">
      <c r="D53" s="22" t="s">
        <v>306</v>
      </c>
      <c r="E53" s="32"/>
      <c r="F53" s="46"/>
      <c r="G53" s="33"/>
      <c r="I53" s="22" t="s">
        <v>306</v>
      </c>
      <c r="J53" s="32" t="s">
        <v>77</v>
      </c>
      <c r="K53" s="34" t="s">
        <v>307</v>
      </c>
      <c r="L53" s="32" t="s">
        <v>308</v>
      </c>
      <c r="M53" s="32" t="s">
        <v>309</v>
      </c>
      <c r="N53" s="37"/>
      <c r="P53" s="26" t="s">
        <v>306</v>
      </c>
      <c r="Q53" s="51" t="s">
        <v>310</v>
      </c>
      <c r="R53" s="52">
        <v>126</v>
      </c>
      <c r="S53" s="52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25">
        <f t="shared" si="3"/>
        <v>0</v>
      </c>
      <c r="AS53" s="22" t="s">
        <v>306</v>
      </c>
      <c r="AT53" s="22">
        <v>503099</v>
      </c>
      <c r="AU53" s="32"/>
      <c r="AV53" s="22">
        <f t="shared" si="4"/>
        <v>0</v>
      </c>
      <c r="AW53" s="37"/>
      <c r="AX53" s="37"/>
      <c r="AY53" s="37"/>
      <c r="AZ53" s="37"/>
      <c r="BA53" s="37"/>
      <c r="BB53" s="37"/>
      <c r="BC53" s="37"/>
      <c r="BD53" s="37"/>
      <c r="BE53" s="29">
        <f t="shared" si="5"/>
        <v>0</v>
      </c>
    </row>
    <row r="54" spans="4:57" x14ac:dyDescent="0.35">
      <c r="D54" s="22" t="s">
        <v>311</v>
      </c>
      <c r="E54" s="32"/>
      <c r="F54" s="46"/>
      <c r="G54" s="33"/>
      <c r="I54" s="22" t="s">
        <v>311</v>
      </c>
      <c r="J54" s="32" t="s">
        <v>61</v>
      </c>
      <c r="K54" s="34" t="s">
        <v>312</v>
      </c>
      <c r="L54" s="32" t="s">
        <v>313</v>
      </c>
      <c r="M54" s="32" t="s">
        <v>314</v>
      </c>
      <c r="N54" s="37"/>
      <c r="P54" s="47" t="s">
        <v>311</v>
      </c>
      <c r="Q54" s="54" t="s">
        <v>315</v>
      </c>
      <c r="R54" s="55">
        <v>204.77</v>
      </c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48">
        <f t="shared" si="3"/>
        <v>0</v>
      </c>
      <c r="AS54" s="22" t="s">
        <v>311</v>
      </c>
      <c r="AT54" s="22">
        <v>503099</v>
      </c>
      <c r="AU54" s="32"/>
      <c r="AV54" s="22">
        <f t="shared" si="4"/>
        <v>0</v>
      </c>
      <c r="AW54" s="37"/>
      <c r="AX54" s="37"/>
      <c r="AY54" s="37"/>
      <c r="AZ54" s="37"/>
      <c r="BA54" s="37"/>
      <c r="BB54" s="37"/>
      <c r="BC54" s="37"/>
      <c r="BD54" s="37"/>
      <c r="BE54" s="29">
        <f t="shared" si="5"/>
        <v>0</v>
      </c>
    </row>
    <row r="55" spans="4:57" x14ac:dyDescent="0.35">
      <c r="D55" s="22" t="s">
        <v>316</v>
      </c>
      <c r="E55" s="32"/>
      <c r="F55" s="46"/>
      <c r="G55" s="33"/>
      <c r="I55" s="22" t="s">
        <v>316</v>
      </c>
      <c r="J55" s="32" t="s">
        <v>84</v>
      </c>
      <c r="K55" s="34" t="s">
        <v>317</v>
      </c>
      <c r="L55" s="32" t="s">
        <v>318</v>
      </c>
      <c r="M55" s="32" t="s">
        <v>319</v>
      </c>
      <c r="N55" s="37"/>
      <c r="P55" s="26" t="s">
        <v>316</v>
      </c>
      <c r="Q55" s="51" t="s">
        <v>320</v>
      </c>
      <c r="R55" s="52">
        <v>68</v>
      </c>
      <c r="S55" s="52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25">
        <f t="shared" si="3"/>
        <v>0</v>
      </c>
      <c r="AS55" s="22" t="s">
        <v>316</v>
      </c>
      <c r="AT55" s="22">
        <v>503099</v>
      </c>
      <c r="AU55" s="32"/>
      <c r="AV55" s="22">
        <f t="shared" si="4"/>
        <v>0</v>
      </c>
      <c r="AW55" s="37"/>
      <c r="AX55" s="37"/>
      <c r="AY55" s="37"/>
      <c r="AZ55" s="37"/>
      <c r="BA55" s="37"/>
      <c r="BB55" s="37"/>
      <c r="BC55" s="37"/>
      <c r="BD55" s="37"/>
      <c r="BE55" s="29">
        <f t="shared" si="5"/>
        <v>0</v>
      </c>
    </row>
    <row r="56" spans="4:57" ht="31" x14ac:dyDescent="0.35">
      <c r="D56" s="22" t="s">
        <v>321</v>
      </c>
      <c r="E56" s="32"/>
      <c r="F56" s="46"/>
      <c r="G56" s="33"/>
      <c r="I56" s="22" t="s">
        <v>321</v>
      </c>
      <c r="J56" s="32" t="s">
        <v>253</v>
      </c>
      <c r="K56" s="34" t="s">
        <v>322</v>
      </c>
      <c r="L56" s="32" t="s">
        <v>323</v>
      </c>
      <c r="M56" s="32" t="s">
        <v>256</v>
      </c>
      <c r="N56" s="37"/>
      <c r="P56" s="47" t="s">
        <v>321</v>
      </c>
      <c r="Q56" s="54" t="s">
        <v>324</v>
      </c>
      <c r="R56" s="55">
        <v>81.42</v>
      </c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48">
        <f t="shared" si="3"/>
        <v>0</v>
      </c>
      <c r="AS56" s="22" t="s">
        <v>321</v>
      </c>
      <c r="AT56" s="22">
        <v>503099</v>
      </c>
      <c r="AU56" s="32"/>
      <c r="AV56" s="22">
        <f t="shared" si="4"/>
        <v>0</v>
      </c>
      <c r="AW56" s="37"/>
      <c r="AX56" s="37"/>
      <c r="AY56" s="37"/>
      <c r="AZ56" s="37"/>
      <c r="BA56" s="37"/>
      <c r="BB56" s="37"/>
      <c r="BC56" s="37"/>
      <c r="BD56" s="37"/>
      <c r="BE56" s="29">
        <f t="shared" si="5"/>
        <v>0</v>
      </c>
    </row>
    <row r="57" spans="4:57" ht="31" x14ac:dyDescent="0.35">
      <c r="D57" s="22" t="s">
        <v>325</v>
      </c>
      <c r="E57" s="32"/>
      <c r="F57" s="46"/>
      <c r="G57" s="33"/>
      <c r="I57" s="22" t="s">
        <v>325</v>
      </c>
      <c r="J57" s="32" t="s">
        <v>253</v>
      </c>
      <c r="K57" s="34" t="s">
        <v>322</v>
      </c>
      <c r="L57" s="32" t="s">
        <v>323</v>
      </c>
      <c r="M57" s="32" t="s">
        <v>326</v>
      </c>
      <c r="N57" s="37"/>
      <c r="P57" s="26" t="s">
        <v>325</v>
      </c>
      <c r="Q57" s="51" t="s">
        <v>327</v>
      </c>
      <c r="R57" s="52">
        <v>2010.15</v>
      </c>
      <c r="S57" s="52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25">
        <f t="shared" si="3"/>
        <v>0</v>
      </c>
      <c r="AS57" s="22" t="s">
        <v>325</v>
      </c>
      <c r="AT57" s="22">
        <v>503099</v>
      </c>
      <c r="AU57" s="32"/>
      <c r="AV57" s="22">
        <f t="shared" si="4"/>
        <v>0</v>
      </c>
      <c r="AW57" s="37"/>
      <c r="AX57" s="37"/>
      <c r="AY57" s="37"/>
      <c r="AZ57" s="37"/>
      <c r="BA57" s="37"/>
      <c r="BB57" s="37"/>
      <c r="BC57" s="37"/>
      <c r="BD57" s="37"/>
      <c r="BE57" s="29">
        <f t="shared" si="5"/>
        <v>0</v>
      </c>
    </row>
    <row r="58" spans="4:57" x14ac:dyDescent="0.35">
      <c r="D58" s="22" t="s">
        <v>328</v>
      </c>
      <c r="E58" s="32"/>
      <c r="F58" s="46"/>
      <c r="G58" s="33"/>
      <c r="I58" s="22" t="s">
        <v>328</v>
      </c>
      <c r="J58" s="32" t="s">
        <v>84</v>
      </c>
      <c r="K58" s="34" t="s">
        <v>329</v>
      </c>
      <c r="L58" s="32" t="s">
        <v>330</v>
      </c>
      <c r="M58" s="32" t="s">
        <v>331</v>
      </c>
      <c r="N58" s="37"/>
      <c r="P58" s="47" t="s">
        <v>328</v>
      </c>
      <c r="Q58" s="54" t="s">
        <v>332</v>
      </c>
      <c r="R58" s="55">
        <v>2266.12</v>
      </c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48">
        <f t="shared" si="3"/>
        <v>0</v>
      </c>
      <c r="AS58" s="22" t="s">
        <v>328</v>
      </c>
      <c r="AT58" s="22">
        <v>503099</v>
      </c>
      <c r="AU58" s="32"/>
      <c r="AV58" s="22">
        <f t="shared" si="4"/>
        <v>0</v>
      </c>
      <c r="AW58" s="37"/>
      <c r="AX58" s="37"/>
      <c r="AY58" s="37"/>
      <c r="AZ58" s="37"/>
      <c r="BA58" s="37"/>
      <c r="BB58" s="37"/>
      <c r="BC58" s="37"/>
      <c r="BD58" s="37"/>
      <c r="BE58" s="29">
        <f t="shared" si="5"/>
        <v>0</v>
      </c>
    </row>
    <row r="59" spans="4:57" x14ac:dyDescent="0.35">
      <c r="D59" s="22" t="s">
        <v>333</v>
      </c>
      <c r="E59" s="32"/>
      <c r="F59" s="46"/>
      <c r="G59" s="33"/>
      <c r="I59" s="22" t="s">
        <v>333</v>
      </c>
      <c r="J59" s="32" t="s">
        <v>84</v>
      </c>
      <c r="K59" s="34" t="s">
        <v>334</v>
      </c>
      <c r="L59" s="32" t="s">
        <v>335</v>
      </c>
      <c r="M59" s="32" t="s">
        <v>336</v>
      </c>
      <c r="N59" s="37"/>
      <c r="P59" s="26" t="s">
        <v>333</v>
      </c>
      <c r="Q59" s="51" t="s">
        <v>337</v>
      </c>
      <c r="R59" s="52">
        <v>51.75</v>
      </c>
      <c r="S59" s="52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25">
        <f t="shared" si="3"/>
        <v>0</v>
      </c>
      <c r="AS59" s="22" t="s">
        <v>333</v>
      </c>
      <c r="AT59" s="22">
        <v>503099</v>
      </c>
      <c r="AU59" s="32"/>
      <c r="AV59" s="22">
        <f t="shared" si="4"/>
        <v>0</v>
      </c>
      <c r="AW59" s="37"/>
      <c r="AX59" s="37"/>
      <c r="AY59" s="37"/>
      <c r="AZ59" s="37"/>
      <c r="BA59" s="37"/>
      <c r="BB59" s="37"/>
      <c r="BC59" s="37"/>
      <c r="BD59" s="37"/>
      <c r="BE59" s="29">
        <f t="shared" si="5"/>
        <v>0</v>
      </c>
    </row>
    <row r="60" spans="4:57" x14ac:dyDescent="0.35">
      <c r="D60" s="22" t="s">
        <v>338</v>
      </c>
      <c r="E60" s="32"/>
      <c r="F60" s="46"/>
      <c r="G60" s="33"/>
      <c r="I60" s="22" t="s">
        <v>338</v>
      </c>
      <c r="J60" s="32" t="s">
        <v>104</v>
      </c>
      <c r="K60" s="34" t="s">
        <v>339</v>
      </c>
      <c r="L60" s="32" t="s">
        <v>340</v>
      </c>
      <c r="M60" s="32" t="s">
        <v>341</v>
      </c>
      <c r="N60" s="37"/>
      <c r="P60" s="47" t="s">
        <v>338</v>
      </c>
      <c r="Q60" s="54" t="s">
        <v>342</v>
      </c>
      <c r="R60" s="55">
        <v>918.5</v>
      </c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48">
        <f t="shared" si="3"/>
        <v>0</v>
      </c>
      <c r="AS60" s="22" t="s">
        <v>338</v>
      </c>
      <c r="AT60" s="22">
        <v>503099</v>
      </c>
      <c r="AU60" s="32"/>
      <c r="AV60" s="22">
        <f t="shared" si="4"/>
        <v>0</v>
      </c>
      <c r="AW60" s="37"/>
      <c r="AX60" s="37"/>
      <c r="AY60" s="37"/>
      <c r="AZ60" s="37"/>
      <c r="BA60" s="37"/>
      <c r="BB60" s="37"/>
      <c r="BC60" s="37"/>
      <c r="BD60" s="37"/>
      <c r="BE60" s="29">
        <f t="shared" si="5"/>
        <v>0</v>
      </c>
    </row>
    <row r="61" spans="4:57" x14ac:dyDescent="0.35">
      <c r="D61" s="22" t="s">
        <v>343</v>
      </c>
      <c r="E61" s="32"/>
      <c r="F61" s="46"/>
      <c r="G61" s="33"/>
      <c r="I61" s="22" t="s">
        <v>343</v>
      </c>
      <c r="J61" s="32" t="s">
        <v>104</v>
      </c>
      <c r="K61" s="34" t="s">
        <v>339</v>
      </c>
      <c r="L61" s="32" t="s">
        <v>340</v>
      </c>
      <c r="M61" s="32" t="s">
        <v>344</v>
      </c>
      <c r="N61" s="37"/>
      <c r="P61" s="26" t="s">
        <v>343</v>
      </c>
      <c r="Q61" s="51" t="s">
        <v>345</v>
      </c>
      <c r="R61" s="52">
        <v>231</v>
      </c>
      <c r="S61" s="52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25">
        <f t="shared" si="3"/>
        <v>0</v>
      </c>
      <c r="AS61" s="22" t="s">
        <v>343</v>
      </c>
      <c r="AT61" s="22">
        <v>503099</v>
      </c>
      <c r="AU61" s="32"/>
      <c r="AV61" s="22">
        <f t="shared" si="4"/>
        <v>0</v>
      </c>
      <c r="AW61" s="37"/>
      <c r="AX61" s="37"/>
      <c r="AY61" s="37"/>
      <c r="AZ61" s="37"/>
      <c r="BA61" s="37"/>
      <c r="BB61" s="37"/>
      <c r="BC61" s="37"/>
      <c r="BD61" s="37"/>
      <c r="BE61" s="29">
        <f t="shared" si="5"/>
        <v>0</v>
      </c>
    </row>
    <row r="62" spans="4:57" x14ac:dyDescent="0.35">
      <c r="D62" s="22" t="s">
        <v>346</v>
      </c>
      <c r="E62" s="32"/>
      <c r="F62" s="46"/>
      <c r="G62" s="33"/>
      <c r="I62" s="22" t="s">
        <v>346</v>
      </c>
      <c r="J62" s="32" t="s">
        <v>69</v>
      </c>
      <c r="K62" s="34" t="s">
        <v>347</v>
      </c>
      <c r="L62" s="32" t="s">
        <v>348</v>
      </c>
      <c r="M62" s="32" t="s">
        <v>349</v>
      </c>
      <c r="N62" s="37"/>
      <c r="P62" s="47" t="s">
        <v>346</v>
      </c>
      <c r="Q62" s="54" t="s">
        <v>350</v>
      </c>
      <c r="R62" s="55">
        <v>222.8</v>
      </c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48">
        <f t="shared" si="3"/>
        <v>0</v>
      </c>
      <c r="AS62" s="22" t="s">
        <v>346</v>
      </c>
      <c r="AT62" s="22">
        <v>503099</v>
      </c>
      <c r="AU62" s="32"/>
      <c r="AV62" s="22">
        <f t="shared" si="4"/>
        <v>0</v>
      </c>
      <c r="AW62" s="37"/>
      <c r="AX62" s="37"/>
      <c r="AY62" s="37"/>
      <c r="AZ62" s="37"/>
      <c r="BA62" s="37"/>
      <c r="BB62" s="37"/>
      <c r="BC62" s="37"/>
      <c r="BD62" s="37"/>
      <c r="BE62" s="29">
        <f t="shared" si="5"/>
        <v>0</v>
      </c>
    </row>
    <row r="63" spans="4:57" x14ac:dyDescent="0.35">
      <c r="D63" s="22" t="s">
        <v>351</v>
      </c>
      <c r="E63" s="32"/>
      <c r="F63" s="46"/>
      <c r="G63" s="33"/>
      <c r="I63" s="22" t="s">
        <v>351</v>
      </c>
      <c r="J63" s="32" t="s">
        <v>184</v>
      </c>
      <c r="K63" s="34" t="s">
        <v>352</v>
      </c>
      <c r="L63" s="32" t="s">
        <v>353</v>
      </c>
      <c r="M63" s="32" t="s">
        <v>354</v>
      </c>
      <c r="N63" s="37"/>
      <c r="P63" s="26" t="s">
        <v>351</v>
      </c>
      <c r="Q63" s="51" t="s">
        <v>355</v>
      </c>
      <c r="R63" s="52">
        <v>5</v>
      </c>
      <c r="S63" s="52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25">
        <f t="shared" si="3"/>
        <v>0</v>
      </c>
      <c r="AS63" s="22" t="s">
        <v>351</v>
      </c>
      <c r="AT63" s="22">
        <v>503099</v>
      </c>
      <c r="AU63" s="32"/>
      <c r="AV63" s="22">
        <f t="shared" si="4"/>
        <v>0</v>
      </c>
      <c r="AW63" s="37"/>
      <c r="AX63" s="37"/>
      <c r="AY63" s="37"/>
      <c r="AZ63" s="37"/>
      <c r="BA63" s="37"/>
      <c r="BB63" s="37"/>
      <c r="BC63" s="37"/>
      <c r="BD63" s="37"/>
      <c r="BE63" s="29">
        <f t="shared" si="5"/>
        <v>0</v>
      </c>
    </row>
    <row r="64" spans="4:57" x14ac:dyDescent="0.35">
      <c r="D64" s="22" t="s">
        <v>356</v>
      </c>
      <c r="E64" s="32"/>
      <c r="F64" s="46"/>
      <c r="G64" s="33"/>
      <c r="I64" s="22" t="s">
        <v>356</v>
      </c>
      <c r="J64" s="32" t="s">
        <v>104</v>
      </c>
      <c r="K64" s="34" t="s">
        <v>357</v>
      </c>
      <c r="L64" s="32" t="s">
        <v>358</v>
      </c>
      <c r="M64" s="32" t="s">
        <v>359</v>
      </c>
      <c r="N64" s="37"/>
      <c r="P64" s="47" t="s">
        <v>356</v>
      </c>
      <c r="Q64" s="54" t="s">
        <v>360</v>
      </c>
      <c r="R64" s="55">
        <v>536.34</v>
      </c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48">
        <f t="shared" si="3"/>
        <v>0</v>
      </c>
      <c r="AS64" s="22" t="s">
        <v>356</v>
      </c>
      <c r="AT64" s="22">
        <v>503099</v>
      </c>
      <c r="AU64" s="32"/>
      <c r="AV64" s="22">
        <f t="shared" si="4"/>
        <v>0</v>
      </c>
      <c r="AW64" s="37"/>
      <c r="AX64" s="37"/>
      <c r="AY64" s="37"/>
      <c r="AZ64" s="37"/>
      <c r="BA64" s="37"/>
      <c r="BB64" s="37"/>
      <c r="BC64" s="37"/>
      <c r="BD64" s="37"/>
      <c r="BE64" s="29">
        <f t="shared" si="5"/>
        <v>0</v>
      </c>
    </row>
    <row r="65" spans="2:57" x14ac:dyDescent="0.35">
      <c r="D65" s="22" t="s">
        <v>361</v>
      </c>
      <c r="E65" s="32"/>
      <c r="F65" s="46"/>
      <c r="G65" s="33"/>
      <c r="I65" s="22" t="s">
        <v>361</v>
      </c>
      <c r="J65" s="32" t="s">
        <v>117</v>
      </c>
      <c r="K65" s="34" t="s">
        <v>362</v>
      </c>
      <c r="L65" s="32" t="s">
        <v>363</v>
      </c>
      <c r="M65" s="32" t="s">
        <v>364</v>
      </c>
      <c r="N65" s="37"/>
      <c r="P65" s="26" t="s">
        <v>361</v>
      </c>
      <c r="Q65" s="51" t="s">
        <v>365</v>
      </c>
      <c r="R65" s="52">
        <v>545.5</v>
      </c>
      <c r="S65" s="52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25">
        <f t="shared" si="3"/>
        <v>0</v>
      </c>
      <c r="AS65" s="22" t="s">
        <v>361</v>
      </c>
      <c r="AT65" s="22">
        <v>503099</v>
      </c>
      <c r="AU65" s="32"/>
      <c r="AV65" s="22">
        <f t="shared" si="4"/>
        <v>0</v>
      </c>
      <c r="AW65" s="37"/>
      <c r="AX65" s="37"/>
      <c r="AY65" s="37"/>
      <c r="AZ65" s="37"/>
      <c r="BA65" s="37"/>
      <c r="BB65" s="37"/>
      <c r="BC65" s="37"/>
      <c r="BD65" s="37"/>
      <c r="BE65" s="29">
        <f t="shared" si="5"/>
        <v>0</v>
      </c>
    </row>
    <row r="66" spans="2:57" x14ac:dyDescent="0.35">
      <c r="D66" s="22" t="s">
        <v>366</v>
      </c>
      <c r="E66" s="32"/>
      <c r="F66" s="46"/>
      <c r="G66" s="33"/>
      <c r="I66" s="22" t="s">
        <v>366</v>
      </c>
      <c r="J66" s="32"/>
      <c r="K66" s="34"/>
      <c r="L66" s="32"/>
      <c r="M66" s="32"/>
      <c r="N66" s="37"/>
      <c r="P66" s="47" t="s">
        <v>366</v>
      </c>
      <c r="Q66" s="54"/>
      <c r="R66" s="55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48">
        <f t="shared" si="3"/>
        <v>0</v>
      </c>
      <c r="AS66" s="22" t="s">
        <v>366</v>
      </c>
      <c r="AT66" s="22">
        <v>503099</v>
      </c>
      <c r="AU66" s="32"/>
      <c r="AV66" s="22">
        <f t="shared" si="4"/>
        <v>0</v>
      </c>
      <c r="AW66" s="37"/>
      <c r="AX66" s="37"/>
      <c r="AY66" s="37"/>
      <c r="AZ66" s="37"/>
      <c r="BA66" s="37"/>
      <c r="BB66" s="37"/>
      <c r="BC66" s="37"/>
      <c r="BD66" s="37"/>
      <c r="BE66" s="29">
        <f t="shared" si="5"/>
        <v>0</v>
      </c>
    </row>
    <row r="67" spans="2:57" x14ac:dyDescent="0.35">
      <c r="D67" s="22" t="s">
        <v>367</v>
      </c>
      <c r="E67" s="32"/>
      <c r="F67" s="46"/>
      <c r="G67" s="33"/>
      <c r="I67" s="22" t="s">
        <v>367</v>
      </c>
      <c r="J67" s="32"/>
      <c r="K67" s="34"/>
      <c r="L67" s="32"/>
      <c r="M67" s="32"/>
      <c r="N67" s="37"/>
      <c r="P67" s="26" t="s">
        <v>367</v>
      </c>
      <c r="Q67" s="51"/>
      <c r="R67" s="52"/>
      <c r="S67" s="52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25">
        <f t="shared" si="3"/>
        <v>0</v>
      </c>
      <c r="AS67" s="22" t="s">
        <v>367</v>
      </c>
      <c r="AT67" s="22">
        <v>503099</v>
      </c>
      <c r="AU67" s="32"/>
      <c r="AV67" s="22">
        <f t="shared" si="4"/>
        <v>0</v>
      </c>
      <c r="AW67" s="37"/>
      <c r="AX67" s="37"/>
      <c r="AY67" s="37"/>
      <c r="AZ67" s="37"/>
      <c r="BA67" s="37"/>
      <c r="BB67" s="37"/>
      <c r="BC67" s="37"/>
      <c r="BD67" s="37"/>
      <c r="BE67" s="29">
        <f t="shared" si="5"/>
        <v>0</v>
      </c>
    </row>
    <row r="68" spans="2:57" x14ac:dyDescent="0.35">
      <c r="D68" s="22" t="s">
        <v>368</v>
      </c>
      <c r="E68" s="32"/>
      <c r="F68" s="46"/>
      <c r="G68" s="33"/>
      <c r="I68" s="22" t="s">
        <v>368</v>
      </c>
      <c r="J68" s="32"/>
      <c r="K68" s="34"/>
      <c r="L68" s="32"/>
      <c r="M68" s="32"/>
      <c r="N68" s="37"/>
      <c r="P68" s="47" t="s">
        <v>368</v>
      </c>
      <c r="Q68" s="54"/>
      <c r="R68" s="55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48">
        <f t="shared" si="3"/>
        <v>0</v>
      </c>
      <c r="AS68" s="22" t="s">
        <v>368</v>
      </c>
      <c r="AT68" s="22">
        <v>503099</v>
      </c>
      <c r="AU68" s="32"/>
      <c r="AV68" s="22">
        <f t="shared" si="4"/>
        <v>0</v>
      </c>
      <c r="AW68" s="37"/>
      <c r="AX68" s="37"/>
      <c r="AY68" s="37"/>
      <c r="AZ68" s="37"/>
      <c r="BA68" s="37"/>
      <c r="BB68" s="37"/>
      <c r="BC68" s="37"/>
      <c r="BD68" s="37"/>
      <c r="BE68" s="29">
        <f t="shared" si="5"/>
        <v>0</v>
      </c>
    </row>
    <row r="69" spans="2:57" x14ac:dyDescent="0.35">
      <c r="D69" s="22" t="s">
        <v>369</v>
      </c>
      <c r="E69" s="32"/>
      <c r="F69" s="46"/>
      <c r="G69" s="33"/>
      <c r="I69" s="22" t="s">
        <v>369</v>
      </c>
      <c r="J69" s="32"/>
      <c r="K69" s="34"/>
      <c r="L69" s="32"/>
      <c r="M69" s="32"/>
      <c r="N69" s="37"/>
      <c r="P69" s="26" t="s">
        <v>369</v>
      </c>
      <c r="Q69" s="51"/>
      <c r="R69" s="52"/>
      <c r="S69" s="52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25">
        <f t="shared" si="3"/>
        <v>0</v>
      </c>
      <c r="AS69" s="22" t="s">
        <v>369</v>
      </c>
      <c r="AT69" s="22">
        <v>503099</v>
      </c>
      <c r="AU69" s="32"/>
      <c r="AV69" s="22">
        <f t="shared" si="4"/>
        <v>0</v>
      </c>
      <c r="AW69" s="37"/>
      <c r="AX69" s="37"/>
      <c r="AY69" s="37"/>
      <c r="AZ69" s="37"/>
      <c r="BA69" s="37"/>
      <c r="BB69" s="37"/>
      <c r="BC69" s="37"/>
      <c r="BD69" s="37"/>
      <c r="BE69" s="29">
        <f t="shared" si="5"/>
        <v>0</v>
      </c>
    </row>
    <row r="70" spans="2:57" x14ac:dyDescent="0.35">
      <c r="B70" s="10"/>
      <c r="D70" s="22" t="s">
        <v>370</v>
      </c>
      <c r="E70" s="32"/>
      <c r="F70" s="46"/>
      <c r="G70" s="33"/>
      <c r="I70" s="22" t="s">
        <v>370</v>
      </c>
      <c r="J70" s="32"/>
      <c r="K70" s="34"/>
      <c r="L70" s="32"/>
      <c r="M70" s="32"/>
      <c r="N70" s="37"/>
      <c r="P70" s="47" t="s">
        <v>370</v>
      </c>
      <c r="Q70" s="54"/>
      <c r="R70" s="55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48">
        <f t="shared" si="3"/>
        <v>0</v>
      </c>
      <c r="AS70" s="22" t="s">
        <v>370</v>
      </c>
      <c r="AT70" s="22">
        <v>503099</v>
      </c>
      <c r="AU70" s="32"/>
      <c r="AV70" s="22">
        <f t="shared" si="4"/>
        <v>0</v>
      </c>
      <c r="AW70" s="37"/>
      <c r="AX70" s="37"/>
      <c r="AY70" s="37"/>
      <c r="AZ70" s="37"/>
      <c r="BA70" s="37"/>
      <c r="BB70" s="37"/>
      <c r="BC70" s="37"/>
      <c r="BD70" s="37"/>
      <c r="BE70" s="29">
        <f t="shared" si="5"/>
        <v>0</v>
      </c>
    </row>
    <row r="71" spans="2:57" x14ac:dyDescent="0.35">
      <c r="B71" s="10"/>
      <c r="D71" s="22" t="s">
        <v>371</v>
      </c>
      <c r="E71" s="32"/>
      <c r="F71" s="46"/>
      <c r="G71" s="33"/>
      <c r="I71" s="22" t="s">
        <v>371</v>
      </c>
      <c r="J71" s="32"/>
      <c r="K71" s="34"/>
      <c r="L71" s="32"/>
      <c r="M71" s="32"/>
      <c r="N71" s="37"/>
      <c r="P71" s="26" t="s">
        <v>371</v>
      </c>
      <c r="Q71" s="51"/>
      <c r="R71" s="52"/>
      <c r="S71" s="52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25">
        <f t="shared" si="3"/>
        <v>0</v>
      </c>
      <c r="AS71" s="22" t="s">
        <v>371</v>
      </c>
      <c r="AT71" s="22">
        <v>503099</v>
      </c>
      <c r="AU71" s="32"/>
      <c r="AV71" s="22">
        <f t="shared" si="4"/>
        <v>0</v>
      </c>
      <c r="AW71" s="37"/>
      <c r="AX71" s="37"/>
      <c r="AY71" s="37"/>
      <c r="AZ71" s="37"/>
      <c r="BA71" s="37"/>
      <c r="BB71" s="37"/>
      <c r="BC71" s="37"/>
      <c r="BD71" s="37"/>
      <c r="BE71" s="29">
        <f t="shared" si="5"/>
        <v>0</v>
      </c>
    </row>
    <row r="72" spans="2:57" x14ac:dyDescent="0.35">
      <c r="D72" s="22" t="s">
        <v>372</v>
      </c>
      <c r="E72" s="32"/>
      <c r="F72" s="46"/>
      <c r="G72" s="33"/>
      <c r="I72" s="22" t="s">
        <v>372</v>
      </c>
      <c r="J72" s="32"/>
      <c r="K72" s="34"/>
      <c r="L72" s="32"/>
      <c r="M72" s="32"/>
      <c r="N72" s="37"/>
      <c r="P72" s="47" t="s">
        <v>372</v>
      </c>
      <c r="Q72" s="54"/>
      <c r="R72" s="55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48">
        <f t="shared" si="3"/>
        <v>0</v>
      </c>
      <c r="AS72" s="22" t="s">
        <v>372</v>
      </c>
      <c r="AT72" s="22">
        <v>503099</v>
      </c>
      <c r="AU72" s="32"/>
      <c r="AV72" s="22">
        <f t="shared" si="4"/>
        <v>0</v>
      </c>
      <c r="AW72" s="37"/>
      <c r="AX72" s="37"/>
      <c r="AY72" s="37"/>
      <c r="AZ72" s="37"/>
      <c r="BA72" s="37"/>
      <c r="BB72" s="37"/>
      <c r="BC72" s="37"/>
      <c r="BD72" s="37"/>
      <c r="BE72" s="29">
        <f t="shared" si="5"/>
        <v>0</v>
      </c>
    </row>
    <row r="73" spans="2:57" x14ac:dyDescent="0.35">
      <c r="D73" s="22" t="s">
        <v>373</v>
      </c>
      <c r="E73" s="32"/>
      <c r="F73" s="46"/>
      <c r="G73" s="33"/>
      <c r="I73" s="22" t="s">
        <v>373</v>
      </c>
      <c r="J73" s="32"/>
      <c r="K73" s="34"/>
      <c r="L73" s="32"/>
      <c r="M73" s="32"/>
      <c r="N73" s="37"/>
      <c r="P73" s="26" t="s">
        <v>373</v>
      </c>
      <c r="Q73" s="51"/>
      <c r="R73" s="52"/>
      <c r="S73" s="52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25">
        <f t="shared" ref="AQ73:AQ104" si="6">$R$8*R73+$S$8*S73+$T$8*T73+$U$8*U73+$V$8*V73+$W$8*W73+$X$8*X73+$Y$8*Y73+$Z$8*Z73+$AA$8*AA73+$AB$8*AB73+$AC$8*AC73+$AD$8*AD73+$AE$8*AE73+$AF$8*AF73+$AG$8*AG73+$AH$8*AH73+$AI$8*AI73+$AJ$8*AJ73+$AP$8*AP73+$AK$8*AK73+$AL$8*AL73+$AM$8*AM73+$AN$8*AN73+$AO$8*AO73</f>
        <v>0</v>
      </c>
      <c r="AS73" s="22" t="s">
        <v>373</v>
      </c>
      <c r="AT73" s="22">
        <v>503099</v>
      </c>
      <c r="AU73" s="32"/>
      <c r="AV73" s="22">
        <f t="shared" ref="AV73:AV104" si="7">AQ73</f>
        <v>0</v>
      </c>
      <c r="AW73" s="37"/>
      <c r="AX73" s="37"/>
      <c r="AY73" s="37"/>
      <c r="AZ73" s="37"/>
      <c r="BA73" s="37"/>
      <c r="BB73" s="37"/>
      <c r="BC73" s="37"/>
      <c r="BD73" s="37"/>
      <c r="BE73" s="29">
        <f t="shared" ref="BE73:BE104" si="8">AV73+AX73+AZ73+BB73+BD73</f>
        <v>0</v>
      </c>
    </row>
    <row r="74" spans="2:57" x14ac:dyDescent="0.35">
      <c r="D74" s="22" t="s">
        <v>374</v>
      </c>
      <c r="E74" s="32"/>
      <c r="F74" s="46"/>
      <c r="G74" s="33"/>
      <c r="I74" s="22" t="s">
        <v>374</v>
      </c>
      <c r="J74" s="32"/>
      <c r="K74" s="34"/>
      <c r="L74" s="32"/>
      <c r="M74" s="32"/>
      <c r="N74" s="37"/>
      <c r="P74" s="47" t="s">
        <v>374</v>
      </c>
      <c r="Q74" s="54"/>
      <c r="R74" s="55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48">
        <f t="shared" si="6"/>
        <v>0</v>
      </c>
      <c r="AS74" s="22" t="s">
        <v>374</v>
      </c>
      <c r="AT74" s="22">
        <v>503099</v>
      </c>
      <c r="AU74" s="32"/>
      <c r="AV74" s="22">
        <f t="shared" si="7"/>
        <v>0</v>
      </c>
      <c r="AW74" s="37"/>
      <c r="AX74" s="37"/>
      <c r="AY74" s="37"/>
      <c r="AZ74" s="37"/>
      <c r="BA74" s="37"/>
      <c r="BB74" s="37"/>
      <c r="BC74" s="37"/>
      <c r="BD74" s="37"/>
      <c r="BE74" s="29">
        <f t="shared" si="8"/>
        <v>0</v>
      </c>
    </row>
    <row r="75" spans="2:57" x14ac:dyDescent="0.35">
      <c r="D75" s="22" t="s">
        <v>375</v>
      </c>
      <c r="E75" s="32"/>
      <c r="F75" s="46"/>
      <c r="G75" s="33"/>
      <c r="I75" s="22" t="s">
        <v>375</v>
      </c>
      <c r="J75" s="32"/>
      <c r="K75" s="34"/>
      <c r="L75" s="32"/>
      <c r="M75" s="32"/>
      <c r="N75" s="37"/>
      <c r="P75" s="26" t="s">
        <v>375</v>
      </c>
      <c r="Q75" s="51"/>
      <c r="R75" s="52"/>
      <c r="S75" s="52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25">
        <f t="shared" si="6"/>
        <v>0</v>
      </c>
      <c r="AS75" s="22" t="s">
        <v>375</v>
      </c>
      <c r="AT75" s="22">
        <v>503099</v>
      </c>
      <c r="AU75" s="32"/>
      <c r="AV75" s="22">
        <f t="shared" si="7"/>
        <v>0</v>
      </c>
      <c r="AW75" s="37"/>
      <c r="AX75" s="37"/>
      <c r="AY75" s="37"/>
      <c r="AZ75" s="37"/>
      <c r="BA75" s="37"/>
      <c r="BB75" s="37"/>
      <c r="BC75" s="37"/>
      <c r="BD75" s="37"/>
      <c r="BE75" s="29">
        <f t="shared" si="8"/>
        <v>0</v>
      </c>
    </row>
    <row r="76" spans="2:57" x14ac:dyDescent="0.35">
      <c r="D76" s="22" t="s">
        <v>376</v>
      </c>
      <c r="E76" s="32"/>
      <c r="F76" s="46"/>
      <c r="G76" s="33"/>
      <c r="I76" s="22" t="s">
        <v>376</v>
      </c>
      <c r="J76" s="32"/>
      <c r="K76" s="34"/>
      <c r="L76" s="32"/>
      <c r="M76" s="32"/>
      <c r="N76" s="37"/>
      <c r="P76" s="47" t="s">
        <v>376</v>
      </c>
      <c r="Q76" s="54"/>
      <c r="R76" s="55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48">
        <f t="shared" si="6"/>
        <v>0</v>
      </c>
      <c r="AS76" s="22" t="s">
        <v>376</v>
      </c>
      <c r="AT76" s="22">
        <v>503099</v>
      </c>
      <c r="AU76" s="32"/>
      <c r="AV76" s="22">
        <f t="shared" si="7"/>
        <v>0</v>
      </c>
      <c r="AW76" s="37"/>
      <c r="AX76" s="37"/>
      <c r="AY76" s="37"/>
      <c r="AZ76" s="37"/>
      <c r="BA76" s="37"/>
      <c r="BB76" s="37"/>
      <c r="BC76" s="37"/>
      <c r="BD76" s="37"/>
      <c r="BE76" s="29">
        <f t="shared" si="8"/>
        <v>0</v>
      </c>
    </row>
    <row r="77" spans="2:57" x14ac:dyDescent="0.35">
      <c r="D77" s="22" t="s">
        <v>377</v>
      </c>
      <c r="E77" s="32"/>
      <c r="F77" s="46"/>
      <c r="G77" s="33"/>
      <c r="I77" s="22" t="s">
        <v>377</v>
      </c>
      <c r="J77" s="32"/>
      <c r="K77" s="34"/>
      <c r="L77" s="32"/>
      <c r="M77" s="32"/>
      <c r="N77" s="37"/>
      <c r="P77" s="26" t="s">
        <v>377</v>
      </c>
      <c r="Q77" s="51"/>
      <c r="R77" s="52"/>
      <c r="S77" s="52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25">
        <f t="shared" si="6"/>
        <v>0</v>
      </c>
      <c r="AS77" s="22" t="s">
        <v>377</v>
      </c>
      <c r="AT77" s="22">
        <v>503099</v>
      </c>
      <c r="AU77" s="32"/>
      <c r="AV77" s="22">
        <f t="shared" si="7"/>
        <v>0</v>
      </c>
      <c r="AW77" s="37"/>
      <c r="AX77" s="37"/>
      <c r="AY77" s="37"/>
      <c r="AZ77" s="37"/>
      <c r="BA77" s="37"/>
      <c r="BB77" s="37"/>
      <c r="BC77" s="37"/>
      <c r="BD77" s="37"/>
      <c r="BE77" s="29">
        <f t="shared" si="8"/>
        <v>0</v>
      </c>
    </row>
    <row r="78" spans="2:57" x14ac:dyDescent="0.35">
      <c r="D78" s="22" t="s">
        <v>378</v>
      </c>
      <c r="E78" s="32"/>
      <c r="F78" s="46"/>
      <c r="G78" s="33"/>
      <c r="I78" s="22" t="s">
        <v>378</v>
      </c>
      <c r="J78" s="32"/>
      <c r="K78" s="34"/>
      <c r="L78" s="32"/>
      <c r="M78" s="32"/>
      <c r="N78" s="37"/>
      <c r="P78" s="47" t="s">
        <v>378</v>
      </c>
      <c r="Q78" s="54"/>
      <c r="R78" s="55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48">
        <f t="shared" si="6"/>
        <v>0</v>
      </c>
      <c r="AS78" s="22" t="s">
        <v>378</v>
      </c>
      <c r="AT78" s="22">
        <v>503099</v>
      </c>
      <c r="AU78" s="32"/>
      <c r="AV78" s="22">
        <f t="shared" si="7"/>
        <v>0</v>
      </c>
      <c r="AW78" s="37"/>
      <c r="AX78" s="37"/>
      <c r="AY78" s="37"/>
      <c r="AZ78" s="37"/>
      <c r="BA78" s="37"/>
      <c r="BB78" s="37"/>
      <c r="BC78" s="37"/>
      <c r="BD78" s="37"/>
      <c r="BE78" s="29">
        <f t="shared" si="8"/>
        <v>0</v>
      </c>
    </row>
    <row r="79" spans="2:57" x14ac:dyDescent="0.35">
      <c r="D79" s="22" t="s">
        <v>379</v>
      </c>
      <c r="E79" s="32"/>
      <c r="F79" s="46"/>
      <c r="G79" s="33"/>
      <c r="I79" s="22" t="s">
        <v>379</v>
      </c>
      <c r="J79" s="32"/>
      <c r="K79" s="34"/>
      <c r="L79" s="32"/>
      <c r="M79" s="32"/>
      <c r="N79" s="37"/>
      <c r="P79" s="26" t="s">
        <v>379</v>
      </c>
      <c r="Q79" s="51"/>
      <c r="R79" s="52"/>
      <c r="S79" s="52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25">
        <f t="shared" si="6"/>
        <v>0</v>
      </c>
      <c r="AS79" s="22" t="s">
        <v>379</v>
      </c>
      <c r="AT79" s="22">
        <v>503099</v>
      </c>
      <c r="AU79" s="32"/>
      <c r="AV79" s="22">
        <f t="shared" si="7"/>
        <v>0</v>
      </c>
      <c r="AW79" s="37"/>
      <c r="AX79" s="37"/>
      <c r="AY79" s="37"/>
      <c r="AZ79" s="37"/>
      <c r="BA79" s="37"/>
      <c r="BB79" s="37"/>
      <c r="BC79" s="37"/>
      <c r="BD79" s="37"/>
      <c r="BE79" s="29">
        <f t="shared" si="8"/>
        <v>0</v>
      </c>
    </row>
    <row r="80" spans="2:57" x14ac:dyDescent="0.35">
      <c r="D80" s="22" t="s">
        <v>380</v>
      </c>
      <c r="E80" s="32"/>
      <c r="F80" s="46"/>
      <c r="G80" s="33"/>
      <c r="I80" s="22" t="s">
        <v>380</v>
      </c>
      <c r="J80" s="32"/>
      <c r="K80" s="34"/>
      <c r="L80" s="32"/>
      <c r="M80" s="32"/>
      <c r="N80" s="37"/>
      <c r="P80" s="47" t="s">
        <v>380</v>
      </c>
      <c r="Q80" s="54"/>
      <c r="R80" s="55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48">
        <f t="shared" si="6"/>
        <v>0</v>
      </c>
      <c r="AS80" s="22" t="s">
        <v>380</v>
      </c>
      <c r="AT80" s="22">
        <v>503099</v>
      </c>
      <c r="AU80" s="32"/>
      <c r="AV80" s="22">
        <f t="shared" si="7"/>
        <v>0</v>
      </c>
      <c r="AW80" s="37"/>
      <c r="AX80" s="37"/>
      <c r="AY80" s="37"/>
      <c r="AZ80" s="37"/>
      <c r="BA80" s="37"/>
      <c r="BB80" s="37"/>
      <c r="BC80" s="37"/>
      <c r="BD80" s="37"/>
      <c r="BE80" s="29">
        <f t="shared" si="8"/>
        <v>0</v>
      </c>
    </row>
    <row r="81" spans="4:57" x14ac:dyDescent="0.35">
      <c r="D81" s="22" t="s">
        <v>381</v>
      </c>
      <c r="E81" s="32"/>
      <c r="F81" s="46"/>
      <c r="G81" s="33"/>
      <c r="I81" s="22" t="s">
        <v>381</v>
      </c>
      <c r="J81" s="32"/>
      <c r="K81" s="34"/>
      <c r="L81" s="32"/>
      <c r="M81" s="32"/>
      <c r="N81" s="37"/>
      <c r="P81" s="26" t="s">
        <v>381</v>
      </c>
      <c r="Q81" s="51"/>
      <c r="R81" s="52"/>
      <c r="S81" s="52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25">
        <f t="shared" si="6"/>
        <v>0</v>
      </c>
      <c r="AS81" s="22" t="s">
        <v>381</v>
      </c>
      <c r="AT81" s="22">
        <v>503099</v>
      </c>
      <c r="AU81" s="32"/>
      <c r="AV81" s="22">
        <f t="shared" si="7"/>
        <v>0</v>
      </c>
      <c r="AW81" s="37"/>
      <c r="AX81" s="37"/>
      <c r="AY81" s="37"/>
      <c r="AZ81" s="37"/>
      <c r="BA81" s="37"/>
      <c r="BB81" s="37"/>
      <c r="BC81" s="37"/>
      <c r="BD81" s="37"/>
      <c r="BE81" s="29">
        <f t="shared" si="8"/>
        <v>0</v>
      </c>
    </row>
    <row r="82" spans="4:57" x14ac:dyDescent="0.35">
      <c r="D82" s="22" t="s">
        <v>382</v>
      </c>
      <c r="E82" s="32"/>
      <c r="F82" s="46"/>
      <c r="G82" s="33"/>
      <c r="I82" s="22" t="s">
        <v>382</v>
      </c>
      <c r="J82" s="32"/>
      <c r="K82" s="34"/>
      <c r="L82" s="32"/>
      <c r="M82" s="32"/>
      <c r="N82" s="37"/>
      <c r="P82" s="47" t="s">
        <v>382</v>
      </c>
      <c r="Q82" s="54"/>
      <c r="R82" s="55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48">
        <f t="shared" si="6"/>
        <v>0</v>
      </c>
      <c r="AS82" s="22" t="s">
        <v>382</v>
      </c>
      <c r="AT82" s="22">
        <v>503099</v>
      </c>
      <c r="AU82" s="32"/>
      <c r="AV82" s="22">
        <f t="shared" si="7"/>
        <v>0</v>
      </c>
      <c r="AW82" s="37"/>
      <c r="AX82" s="37"/>
      <c r="AY82" s="37"/>
      <c r="AZ82" s="37"/>
      <c r="BA82" s="37"/>
      <c r="BB82" s="37"/>
      <c r="BC82" s="37"/>
      <c r="BD82" s="37"/>
      <c r="BE82" s="29">
        <f t="shared" si="8"/>
        <v>0</v>
      </c>
    </row>
    <row r="83" spans="4:57" x14ac:dyDescent="0.35">
      <c r="D83" s="22" t="s">
        <v>383</v>
      </c>
      <c r="E83" s="32"/>
      <c r="F83" s="46"/>
      <c r="G83" s="33"/>
      <c r="I83" s="22" t="s">
        <v>383</v>
      </c>
      <c r="J83" s="32"/>
      <c r="K83" s="34"/>
      <c r="L83" s="32"/>
      <c r="M83" s="32"/>
      <c r="N83" s="37"/>
      <c r="P83" s="26" t="s">
        <v>383</v>
      </c>
      <c r="Q83" s="51"/>
      <c r="R83" s="52"/>
      <c r="S83" s="52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25">
        <f t="shared" si="6"/>
        <v>0</v>
      </c>
      <c r="AS83" s="22" t="s">
        <v>383</v>
      </c>
      <c r="AT83" s="22">
        <v>503099</v>
      </c>
      <c r="AU83" s="32"/>
      <c r="AV83" s="22">
        <f t="shared" si="7"/>
        <v>0</v>
      </c>
      <c r="AW83" s="37"/>
      <c r="AX83" s="37"/>
      <c r="AY83" s="37"/>
      <c r="AZ83" s="37"/>
      <c r="BA83" s="37"/>
      <c r="BB83" s="37"/>
      <c r="BC83" s="37"/>
      <c r="BD83" s="37"/>
      <c r="BE83" s="29">
        <f t="shared" si="8"/>
        <v>0</v>
      </c>
    </row>
    <row r="84" spans="4:57" x14ac:dyDescent="0.35">
      <c r="D84" s="22" t="s">
        <v>384</v>
      </c>
      <c r="E84" s="32"/>
      <c r="F84" s="46"/>
      <c r="G84" s="33"/>
      <c r="I84" s="22" t="s">
        <v>384</v>
      </c>
      <c r="J84" s="32"/>
      <c r="K84" s="34"/>
      <c r="L84" s="32"/>
      <c r="M84" s="32"/>
      <c r="N84" s="37"/>
      <c r="P84" s="47" t="s">
        <v>384</v>
      </c>
      <c r="Q84" s="54"/>
      <c r="R84" s="55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48">
        <f t="shared" si="6"/>
        <v>0</v>
      </c>
      <c r="AS84" s="22" t="s">
        <v>384</v>
      </c>
      <c r="AT84" s="22">
        <v>503099</v>
      </c>
      <c r="AU84" s="32"/>
      <c r="AV84" s="22">
        <f t="shared" si="7"/>
        <v>0</v>
      </c>
      <c r="AW84" s="37"/>
      <c r="AX84" s="37"/>
      <c r="AY84" s="37"/>
      <c r="AZ84" s="37"/>
      <c r="BA84" s="37"/>
      <c r="BB84" s="37"/>
      <c r="BC84" s="37"/>
      <c r="BD84" s="37"/>
      <c r="BE84" s="29">
        <f t="shared" si="8"/>
        <v>0</v>
      </c>
    </row>
    <row r="85" spans="4:57" x14ac:dyDescent="0.35">
      <c r="D85" s="22" t="s">
        <v>385</v>
      </c>
      <c r="E85" s="32"/>
      <c r="F85" s="46"/>
      <c r="G85" s="33"/>
      <c r="I85" s="22" t="s">
        <v>385</v>
      </c>
      <c r="J85" s="32"/>
      <c r="K85" s="34"/>
      <c r="L85" s="32"/>
      <c r="M85" s="32"/>
      <c r="N85" s="37"/>
      <c r="P85" s="26" t="s">
        <v>385</v>
      </c>
      <c r="Q85" s="51"/>
      <c r="R85" s="52"/>
      <c r="S85" s="52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25">
        <f t="shared" si="6"/>
        <v>0</v>
      </c>
      <c r="AS85" s="22" t="s">
        <v>385</v>
      </c>
      <c r="AT85" s="22">
        <v>503099</v>
      </c>
      <c r="AU85" s="32"/>
      <c r="AV85" s="22">
        <f t="shared" si="7"/>
        <v>0</v>
      </c>
      <c r="AW85" s="37"/>
      <c r="AX85" s="37"/>
      <c r="AY85" s="37"/>
      <c r="AZ85" s="37"/>
      <c r="BA85" s="37"/>
      <c r="BB85" s="37"/>
      <c r="BC85" s="37"/>
      <c r="BD85" s="37"/>
      <c r="BE85" s="29">
        <f t="shared" si="8"/>
        <v>0</v>
      </c>
    </row>
    <row r="86" spans="4:57" x14ac:dyDescent="0.35">
      <c r="D86" s="22" t="s">
        <v>386</v>
      </c>
      <c r="E86" s="32"/>
      <c r="F86" s="46"/>
      <c r="G86" s="33"/>
      <c r="I86" s="22" t="s">
        <v>386</v>
      </c>
      <c r="J86" s="32"/>
      <c r="K86" s="34"/>
      <c r="L86" s="32"/>
      <c r="M86" s="32"/>
      <c r="N86" s="37"/>
      <c r="P86" s="47" t="s">
        <v>386</v>
      </c>
      <c r="Q86" s="54"/>
      <c r="R86" s="55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48">
        <f t="shared" si="6"/>
        <v>0</v>
      </c>
      <c r="AS86" s="22" t="s">
        <v>386</v>
      </c>
      <c r="AT86" s="22">
        <v>503099</v>
      </c>
      <c r="AU86" s="32"/>
      <c r="AV86" s="22">
        <f t="shared" si="7"/>
        <v>0</v>
      </c>
      <c r="AW86" s="37"/>
      <c r="AX86" s="37"/>
      <c r="AY86" s="37"/>
      <c r="AZ86" s="37"/>
      <c r="BA86" s="37"/>
      <c r="BB86" s="37"/>
      <c r="BC86" s="37"/>
      <c r="BD86" s="37"/>
      <c r="BE86" s="29">
        <f t="shared" si="8"/>
        <v>0</v>
      </c>
    </row>
    <row r="87" spans="4:57" x14ac:dyDescent="0.35">
      <c r="D87" s="22" t="s">
        <v>387</v>
      </c>
      <c r="E87" s="32"/>
      <c r="F87" s="46"/>
      <c r="G87" s="33"/>
      <c r="I87" s="22" t="s">
        <v>387</v>
      </c>
      <c r="J87" s="32"/>
      <c r="K87" s="34"/>
      <c r="L87" s="32"/>
      <c r="M87" s="32"/>
      <c r="N87" s="37"/>
      <c r="P87" s="26" t="s">
        <v>387</v>
      </c>
      <c r="Q87" s="51"/>
      <c r="R87" s="52"/>
      <c r="S87" s="52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25">
        <f t="shared" si="6"/>
        <v>0</v>
      </c>
      <c r="AS87" s="22" t="s">
        <v>387</v>
      </c>
      <c r="AT87" s="22">
        <v>503099</v>
      </c>
      <c r="AU87" s="32"/>
      <c r="AV87" s="22">
        <f t="shared" si="7"/>
        <v>0</v>
      </c>
      <c r="AW87" s="37"/>
      <c r="AX87" s="37"/>
      <c r="AY87" s="37"/>
      <c r="AZ87" s="37"/>
      <c r="BA87" s="37"/>
      <c r="BB87" s="37"/>
      <c r="BC87" s="37"/>
      <c r="BD87" s="37"/>
      <c r="BE87" s="29">
        <f t="shared" si="8"/>
        <v>0</v>
      </c>
    </row>
    <row r="88" spans="4:57" x14ac:dyDescent="0.35">
      <c r="D88" s="22" t="s">
        <v>388</v>
      </c>
      <c r="E88" s="32"/>
      <c r="F88" s="46"/>
      <c r="G88" s="33"/>
      <c r="I88" s="22" t="s">
        <v>388</v>
      </c>
      <c r="J88" s="32"/>
      <c r="K88" s="34"/>
      <c r="L88" s="32"/>
      <c r="M88" s="32"/>
      <c r="N88" s="37"/>
      <c r="P88" s="47" t="s">
        <v>388</v>
      </c>
      <c r="Q88" s="54"/>
      <c r="R88" s="55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48">
        <f t="shared" si="6"/>
        <v>0</v>
      </c>
      <c r="AS88" s="22" t="s">
        <v>388</v>
      </c>
      <c r="AT88" s="22">
        <v>503099</v>
      </c>
      <c r="AU88" s="32"/>
      <c r="AV88" s="22">
        <f t="shared" si="7"/>
        <v>0</v>
      </c>
      <c r="AW88" s="37"/>
      <c r="AX88" s="37"/>
      <c r="AY88" s="37"/>
      <c r="AZ88" s="37"/>
      <c r="BA88" s="37"/>
      <c r="BB88" s="37"/>
      <c r="BC88" s="37"/>
      <c r="BD88" s="37"/>
      <c r="BE88" s="29">
        <f t="shared" si="8"/>
        <v>0</v>
      </c>
    </row>
    <row r="89" spans="4:57" x14ac:dyDescent="0.35">
      <c r="D89" s="22" t="s">
        <v>389</v>
      </c>
      <c r="E89" s="32"/>
      <c r="F89" s="46"/>
      <c r="G89" s="33"/>
      <c r="I89" s="22" t="s">
        <v>389</v>
      </c>
      <c r="J89" s="32"/>
      <c r="K89" s="34"/>
      <c r="L89" s="32"/>
      <c r="M89" s="32"/>
      <c r="N89" s="37"/>
      <c r="P89" s="26" t="s">
        <v>389</v>
      </c>
      <c r="Q89" s="51"/>
      <c r="R89" s="52"/>
      <c r="S89" s="52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25">
        <f t="shared" si="6"/>
        <v>0</v>
      </c>
      <c r="AS89" s="22" t="s">
        <v>389</v>
      </c>
      <c r="AT89" s="22">
        <v>503099</v>
      </c>
      <c r="AU89" s="32"/>
      <c r="AV89" s="22">
        <f t="shared" si="7"/>
        <v>0</v>
      </c>
      <c r="AW89" s="37"/>
      <c r="AX89" s="37"/>
      <c r="AY89" s="37"/>
      <c r="AZ89" s="37"/>
      <c r="BA89" s="37"/>
      <c r="BB89" s="37"/>
      <c r="BC89" s="37"/>
      <c r="BD89" s="37"/>
      <c r="BE89" s="29">
        <f t="shared" si="8"/>
        <v>0</v>
      </c>
    </row>
    <row r="90" spans="4:57" x14ac:dyDescent="0.35">
      <c r="D90" s="22" t="s">
        <v>390</v>
      </c>
      <c r="E90" s="32"/>
      <c r="F90" s="46"/>
      <c r="G90" s="33"/>
      <c r="I90" s="22" t="s">
        <v>390</v>
      </c>
      <c r="J90" s="32"/>
      <c r="K90" s="34"/>
      <c r="L90" s="32"/>
      <c r="M90" s="32"/>
      <c r="N90" s="37"/>
      <c r="P90" s="47" t="s">
        <v>390</v>
      </c>
      <c r="Q90" s="54"/>
      <c r="R90" s="55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48">
        <f t="shared" si="6"/>
        <v>0</v>
      </c>
      <c r="AS90" s="22" t="s">
        <v>390</v>
      </c>
      <c r="AT90" s="22">
        <v>503099</v>
      </c>
      <c r="AU90" s="32"/>
      <c r="AV90" s="22">
        <f t="shared" si="7"/>
        <v>0</v>
      </c>
      <c r="AW90" s="37"/>
      <c r="AX90" s="37"/>
      <c r="AY90" s="37"/>
      <c r="AZ90" s="37"/>
      <c r="BA90" s="37"/>
      <c r="BB90" s="37"/>
      <c r="BC90" s="37"/>
      <c r="BD90" s="37"/>
      <c r="BE90" s="29">
        <f t="shared" si="8"/>
        <v>0</v>
      </c>
    </row>
    <row r="91" spans="4:57" x14ac:dyDescent="0.35">
      <c r="D91" s="22" t="s">
        <v>391</v>
      </c>
      <c r="E91" s="32"/>
      <c r="F91" s="46"/>
      <c r="G91" s="33"/>
      <c r="I91" s="22" t="s">
        <v>391</v>
      </c>
      <c r="J91" s="32"/>
      <c r="K91" s="34"/>
      <c r="L91" s="32"/>
      <c r="M91" s="32"/>
      <c r="N91" s="37"/>
      <c r="P91" s="26" t="s">
        <v>391</v>
      </c>
      <c r="Q91" s="51"/>
      <c r="R91" s="52"/>
      <c r="S91" s="52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25">
        <f t="shared" si="6"/>
        <v>0</v>
      </c>
      <c r="AS91" s="22" t="s">
        <v>391</v>
      </c>
      <c r="AT91" s="22">
        <v>503099</v>
      </c>
      <c r="AU91" s="32"/>
      <c r="AV91" s="22">
        <f t="shared" si="7"/>
        <v>0</v>
      </c>
      <c r="AW91" s="37"/>
      <c r="AX91" s="37"/>
      <c r="AY91" s="37"/>
      <c r="AZ91" s="37"/>
      <c r="BA91" s="37"/>
      <c r="BB91" s="37"/>
      <c r="BC91" s="37"/>
      <c r="BD91" s="37"/>
      <c r="BE91" s="29">
        <f t="shared" si="8"/>
        <v>0</v>
      </c>
    </row>
    <row r="92" spans="4:57" x14ac:dyDescent="0.35">
      <c r="D92" s="22" t="s">
        <v>392</v>
      </c>
      <c r="E92" s="32"/>
      <c r="F92" s="46"/>
      <c r="G92" s="33"/>
      <c r="I92" s="22" t="s">
        <v>392</v>
      </c>
      <c r="J92" s="32"/>
      <c r="K92" s="34"/>
      <c r="L92" s="32"/>
      <c r="M92" s="32"/>
      <c r="N92" s="37"/>
      <c r="P92" s="47" t="s">
        <v>392</v>
      </c>
      <c r="Q92" s="54"/>
      <c r="R92" s="55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48">
        <f t="shared" si="6"/>
        <v>0</v>
      </c>
      <c r="AS92" s="22" t="s">
        <v>392</v>
      </c>
      <c r="AT92" s="22">
        <v>503099</v>
      </c>
      <c r="AU92" s="32"/>
      <c r="AV92" s="22">
        <f t="shared" si="7"/>
        <v>0</v>
      </c>
      <c r="AW92" s="37"/>
      <c r="AX92" s="37"/>
      <c r="AY92" s="37"/>
      <c r="AZ92" s="37"/>
      <c r="BA92" s="37"/>
      <c r="BB92" s="37"/>
      <c r="BC92" s="37"/>
      <c r="BD92" s="37"/>
      <c r="BE92" s="29">
        <f t="shared" si="8"/>
        <v>0</v>
      </c>
    </row>
    <row r="93" spans="4:57" x14ac:dyDescent="0.35">
      <c r="D93" s="22" t="s">
        <v>393</v>
      </c>
      <c r="E93" s="32"/>
      <c r="F93" s="46"/>
      <c r="G93" s="33"/>
      <c r="I93" s="22" t="s">
        <v>393</v>
      </c>
      <c r="J93" s="32"/>
      <c r="K93" s="34"/>
      <c r="L93" s="32"/>
      <c r="M93" s="32"/>
      <c r="N93" s="37"/>
      <c r="P93" s="26" t="s">
        <v>393</v>
      </c>
      <c r="Q93" s="51"/>
      <c r="R93" s="52"/>
      <c r="S93" s="52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25">
        <f t="shared" si="6"/>
        <v>0</v>
      </c>
      <c r="AS93" s="22" t="s">
        <v>393</v>
      </c>
      <c r="AT93" s="22">
        <v>503099</v>
      </c>
      <c r="AU93" s="32"/>
      <c r="AV93" s="22">
        <f t="shared" si="7"/>
        <v>0</v>
      </c>
      <c r="AW93" s="37"/>
      <c r="AX93" s="37"/>
      <c r="AY93" s="37"/>
      <c r="AZ93" s="37"/>
      <c r="BA93" s="37"/>
      <c r="BB93" s="37"/>
      <c r="BC93" s="37"/>
      <c r="BD93" s="37"/>
      <c r="BE93" s="29">
        <f t="shared" si="8"/>
        <v>0</v>
      </c>
    </row>
    <row r="94" spans="4:57" x14ac:dyDescent="0.35">
      <c r="D94" s="22" t="s">
        <v>394</v>
      </c>
      <c r="E94" s="32"/>
      <c r="F94" s="46"/>
      <c r="G94" s="33"/>
      <c r="I94" s="22" t="s">
        <v>394</v>
      </c>
      <c r="J94" s="32"/>
      <c r="K94" s="34"/>
      <c r="L94" s="32"/>
      <c r="M94" s="32"/>
      <c r="N94" s="37"/>
      <c r="P94" s="47" t="s">
        <v>394</v>
      </c>
      <c r="Q94" s="54"/>
      <c r="R94" s="55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48">
        <f t="shared" si="6"/>
        <v>0</v>
      </c>
      <c r="AS94" s="22" t="s">
        <v>394</v>
      </c>
      <c r="AT94" s="22">
        <v>503099</v>
      </c>
      <c r="AU94" s="32"/>
      <c r="AV94" s="22">
        <f t="shared" si="7"/>
        <v>0</v>
      </c>
      <c r="AW94" s="37"/>
      <c r="AX94" s="37"/>
      <c r="AY94" s="37"/>
      <c r="AZ94" s="37"/>
      <c r="BA94" s="37"/>
      <c r="BB94" s="37"/>
      <c r="BC94" s="37"/>
      <c r="BD94" s="37"/>
      <c r="BE94" s="29">
        <f t="shared" si="8"/>
        <v>0</v>
      </c>
    </row>
    <row r="95" spans="4:57" x14ac:dyDescent="0.35">
      <c r="D95" s="22" t="s">
        <v>395</v>
      </c>
      <c r="E95" s="32"/>
      <c r="F95" s="46"/>
      <c r="G95" s="33"/>
      <c r="I95" s="22" t="s">
        <v>395</v>
      </c>
      <c r="J95" s="32"/>
      <c r="K95" s="34"/>
      <c r="L95" s="32"/>
      <c r="M95" s="32"/>
      <c r="N95" s="37"/>
      <c r="P95" s="26" t="s">
        <v>395</v>
      </c>
      <c r="Q95" s="51"/>
      <c r="R95" s="52"/>
      <c r="S95" s="52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25">
        <f t="shared" si="6"/>
        <v>0</v>
      </c>
      <c r="AS95" s="22" t="s">
        <v>395</v>
      </c>
      <c r="AT95" s="22">
        <v>503099</v>
      </c>
      <c r="AU95" s="32"/>
      <c r="AV95" s="22">
        <f t="shared" si="7"/>
        <v>0</v>
      </c>
      <c r="AW95" s="37"/>
      <c r="AX95" s="37"/>
      <c r="AY95" s="37"/>
      <c r="AZ95" s="37"/>
      <c r="BA95" s="37"/>
      <c r="BB95" s="37"/>
      <c r="BC95" s="37"/>
      <c r="BD95" s="37"/>
      <c r="BE95" s="29">
        <f t="shared" si="8"/>
        <v>0</v>
      </c>
    </row>
    <row r="96" spans="4:57" x14ac:dyDescent="0.35">
      <c r="D96" s="22" t="s">
        <v>396</v>
      </c>
      <c r="E96" s="32"/>
      <c r="F96" s="46"/>
      <c r="G96" s="33"/>
      <c r="I96" s="22" t="s">
        <v>396</v>
      </c>
      <c r="J96" s="32"/>
      <c r="K96" s="34"/>
      <c r="L96" s="32"/>
      <c r="M96" s="32"/>
      <c r="N96" s="37"/>
      <c r="P96" s="47" t="s">
        <v>396</v>
      </c>
      <c r="Q96" s="54"/>
      <c r="R96" s="55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48">
        <f t="shared" si="6"/>
        <v>0</v>
      </c>
      <c r="AS96" s="22" t="s">
        <v>396</v>
      </c>
      <c r="AT96" s="22">
        <v>503099</v>
      </c>
      <c r="AU96" s="32"/>
      <c r="AV96" s="22">
        <f t="shared" si="7"/>
        <v>0</v>
      </c>
      <c r="AW96" s="37"/>
      <c r="AX96" s="37"/>
      <c r="AY96" s="37"/>
      <c r="AZ96" s="37"/>
      <c r="BA96" s="37"/>
      <c r="BB96" s="37"/>
      <c r="BC96" s="37"/>
      <c r="BD96" s="37"/>
      <c r="BE96" s="29">
        <f t="shared" si="8"/>
        <v>0</v>
      </c>
    </row>
    <row r="97" spans="4:57" x14ac:dyDescent="0.35">
      <c r="D97" s="22" t="s">
        <v>397</v>
      </c>
      <c r="E97" s="32"/>
      <c r="F97" s="46"/>
      <c r="G97" s="33"/>
      <c r="I97" s="22" t="s">
        <v>397</v>
      </c>
      <c r="J97" s="32"/>
      <c r="K97" s="34"/>
      <c r="L97" s="32"/>
      <c r="M97" s="32"/>
      <c r="N97" s="37"/>
      <c r="P97" s="26" t="s">
        <v>397</v>
      </c>
      <c r="Q97" s="51"/>
      <c r="R97" s="52"/>
      <c r="S97" s="52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25">
        <f t="shared" si="6"/>
        <v>0</v>
      </c>
      <c r="AS97" s="22" t="s">
        <v>397</v>
      </c>
      <c r="AT97" s="22">
        <v>503099</v>
      </c>
      <c r="AU97" s="32"/>
      <c r="AV97" s="22">
        <f t="shared" si="7"/>
        <v>0</v>
      </c>
      <c r="AW97" s="37"/>
      <c r="AX97" s="37"/>
      <c r="AY97" s="37"/>
      <c r="AZ97" s="37"/>
      <c r="BA97" s="37"/>
      <c r="BB97" s="37"/>
      <c r="BC97" s="37"/>
      <c r="BD97" s="37"/>
      <c r="BE97" s="29">
        <f t="shared" si="8"/>
        <v>0</v>
      </c>
    </row>
    <row r="98" spans="4:57" x14ac:dyDescent="0.35">
      <c r="D98" s="22" t="s">
        <v>398</v>
      </c>
      <c r="E98" s="32"/>
      <c r="F98" s="46"/>
      <c r="G98" s="33"/>
      <c r="I98" s="22" t="s">
        <v>398</v>
      </c>
      <c r="J98" s="32"/>
      <c r="K98" s="34"/>
      <c r="L98" s="32"/>
      <c r="M98" s="32"/>
      <c r="N98" s="37"/>
      <c r="P98" s="47" t="s">
        <v>398</v>
      </c>
      <c r="Q98" s="54"/>
      <c r="R98" s="55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48">
        <f t="shared" si="6"/>
        <v>0</v>
      </c>
      <c r="AS98" s="22" t="s">
        <v>398</v>
      </c>
      <c r="AT98" s="22">
        <v>503099</v>
      </c>
      <c r="AU98" s="32"/>
      <c r="AV98" s="22">
        <f t="shared" si="7"/>
        <v>0</v>
      </c>
      <c r="AW98" s="37"/>
      <c r="AX98" s="37"/>
      <c r="AY98" s="37"/>
      <c r="AZ98" s="37"/>
      <c r="BA98" s="37"/>
      <c r="BB98" s="37"/>
      <c r="BC98" s="37"/>
      <c r="BD98" s="37"/>
      <c r="BE98" s="29">
        <f t="shared" si="8"/>
        <v>0</v>
      </c>
    </row>
    <row r="99" spans="4:57" x14ac:dyDescent="0.35">
      <c r="D99" s="22" t="s">
        <v>399</v>
      </c>
      <c r="E99" s="32"/>
      <c r="F99" s="46"/>
      <c r="G99" s="33"/>
      <c r="I99" s="22" t="s">
        <v>399</v>
      </c>
      <c r="J99" s="32"/>
      <c r="K99" s="34"/>
      <c r="L99" s="32"/>
      <c r="M99" s="32"/>
      <c r="N99" s="37"/>
      <c r="P99" s="26" t="s">
        <v>399</v>
      </c>
      <c r="Q99" s="51"/>
      <c r="R99" s="52"/>
      <c r="S99" s="52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25">
        <f t="shared" si="6"/>
        <v>0</v>
      </c>
      <c r="AS99" s="22" t="s">
        <v>399</v>
      </c>
      <c r="AT99" s="22">
        <v>503099</v>
      </c>
      <c r="AU99" s="32"/>
      <c r="AV99" s="22">
        <f t="shared" si="7"/>
        <v>0</v>
      </c>
      <c r="AW99" s="37"/>
      <c r="AX99" s="37"/>
      <c r="AY99" s="37"/>
      <c r="AZ99" s="37"/>
      <c r="BA99" s="37"/>
      <c r="BB99" s="37"/>
      <c r="BC99" s="37"/>
      <c r="BD99" s="37"/>
      <c r="BE99" s="29">
        <f t="shared" si="8"/>
        <v>0</v>
      </c>
    </row>
    <row r="100" spans="4:57" x14ac:dyDescent="0.35">
      <c r="D100" s="22" t="s">
        <v>400</v>
      </c>
      <c r="E100" s="32"/>
      <c r="F100" s="46"/>
      <c r="G100" s="33"/>
      <c r="I100" s="22" t="s">
        <v>400</v>
      </c>
      <c r="J100" s="32"/>
      <c r="K100" s="34"/>
      <c r="L100" s="32"/>
      <c r="M100" s="32"/>
      <c r="N100" s="37"/>
      <c r="P100" s="47" t="s">
        <v>400</v>
      </c>
      <c r="Q100" s="54"/>
      <c r="R100" s="55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48">
        <f t="shared" si="6"/>
        <v>0</v>
      </c>
      <c r="AS100" s="22" t="s">
        <v>400</v>
      </c>
      <c r="AT100" s="22">
        <v>503099</v>
      </c>
      <c r="AU100" s="32"/>
      <c r="AV100" s="22">
        <f t="shared" si="7"/>
        <v>0</v>
      </c>
      <c r="AW100" s="37"/>
      <c r="AX100" s="37"/>
      <c r="AY100" s="37"/>
      <c r="AZ100" s="37"/>
      <c r="BA100" s="37"/>
      <c r="BB100" s="37"/>
      <c r="BC100" s="37"/>
      <c r="BD100" s="37"/>
      <c r="BE100" s="29">
        <f t="shared" si="8"/>
        <v>0</v>
      </c>
    </row>
    <row r="101" spans="4:57" x14ac:dyDescent="0.35">
      <c r="D101" s="22" t="s">
        <v>401</v>
      </c>
      <c r="E101" s="32"/>
      <c r="F101" s="46"/>
      <c r="G101" s="33"/>
      <c r="I101" s="22" t="s">
        <v>401</v>
      </c>
      <c r="J101" s="32"/>
      <c r="K101" s="34"/>
      <c r="L101" s="32"/>
      <c r="M101" s="32"/>
      <c r="N101" s="37"/>
      <c r="P101" s="26" t="s">
        <v>401</v>
      </c>
      <c r="Q101" s="51"/>
      <c r="R101" s="52"/>
      <c r="S101" s="52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25">
        <f t="shared" si="6"/>
        <v>0</v>
      </c>
      <c r="AS101" s="22" t="s">
        <v>401</v>
      </c>
      <c r="AT101" s="22">
        <v>503099</v>
      </c>
      <c r="AU101" s="32"/>
      <c r="AV101" s="22">
        <f t="shared" si="7"/>
        <v>0</v>
      </c>
      <c r="AW101" s="37"/>
      <c r="AX101" s="37"/>
      <c r="AY101" s="37"/>
      <c r="AZ101" s="37"/>
      <c r="BA101" s="37"/>
      <c r="BB101" s="37"/>
      <c r="BC101" s="37"/>
      <c r="BD101" s="37"/>
      <c r="BE101" s="29">
        <f t="shared" si="8"/>
        <v>0</v>
      </c>
    </row>
    <row r="102" spans="4:57" x14ac:dyDescent="0.35">
      <c r="D102" s="22" t="s">
        <v>402</v>
      </c>
      <c r="E102" s="32"/>
      <c r="F102" s="46"/>
      <c r="G102" s="33"/>
      <c r="I102" s="22" t="s">
        <v>402</v>
      </c>
      <c r="J102" s="32"/>
      <c r="K102" s="34"/>
      <c r="L102" s="32"/>
      <c r="M102" s="32"/>
      <c r="N102" s="37"/>
      <c r="P102" s="47" t="s">
        <v>402</v>
      </c>
      <c r="Q102" s="54"/>
      <c r="R102" s="55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48">
        <f t="shared" si="6"/>
        <v>0</v>
      </c>
      <c r="AS102" s="22" t="s">
        <v>402</v>
      </c>
      <c r="AT102" s="22">
        <v>503099</v>
      </c>
      <c r="AU102" s="32"/>
      <c r="AV102" s="22">
        <f t="shared" si="7"/>
        <v>0</v>
      </c>
      <c r="AW102" s="37"/>
      <c r="AX102" s="37"/>
      <c r="AY102" s="37"/>
      <c r="AZ102" s="37"/>
      <c r="BA102" s="37"/>
      <c r="BB102" s="37"/>
      <c r="BC102" s="37"/>
      <c r="BD102" s="37"/>
      <c r="BE102" s="29">
        <f t="shared" si="8"/>
        <v>0</v>
      </c>
    </row>
    <row r="103" spans="4:57" x14ac:dyDescent="0.35">
      <c r="D103" s="22" t="s">
        <v>403</v>
      </c>
      <c r="E103" s="32"/>
      <c r="F103" s="46"/>
      <c r="G103" s="33"/>
      <c r="I103" s="22" t="s">
        <v>403</v>
      </c>
      <c r="J103" s="32"/>
      <c r="K103" s="34"/>
      <c r="L103" s="32"/>
      <c r="M103" s="32"/>
      <c r="N103" s="37"/>
      <c r="P103" s="26" t="s">
        <v>403</v>
      </c>
      <c r="Q103" s="51"/>
      <c r="R103" s="52"/>
      <c r="S103" s="52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25">
        <f t="shared" si="6"/>
        <v>0</v>
      </c>
      <c r="AS103" s="22" t="s">
        <v>403</v>
      </c>
      <c r="AT103" s="22">
        <v>503099</v>
      </c>
      <c r="AU103" s="32"/>
      <c r="AV103" s="22">
        <f t="shared" si="7"/>
        <v>0</v>
      </c>
      <c r="AW103" s="37"/>
      <c r="AX103" s="37"/>
      <c r="AY103" s="37"/>
      <c r="AZ103" s="37"/>
      <c r="BA103" s="37"/>
      <c r="BB103" s="37"/>
      <c r="BC103" s="37"/>
      <c r="BD103" s="37"/>
      <c r="BE103" s="29">
        <f t="shared" si="8"/>
        <v>0</v>
      </c>
    </row>
    <row r="104" spans="4:57" x14ac:dyDescent="0.35">
      <c r="D104" s="22" t="s">
        <v>404</v>
      </c>
      <c r="E104" s="32"/>
      <c r="F104" s="46"/>
      <c r="G104" s="33"/>
      <c r="I104" s="22" t="s">
        <v>404</v>
      </c>
      <c r="J104" s="32"/>
      <c r="K104" s="34"/>
      <c r="L104" s="32"/>
      <c r="M104" s="32"/>
      <c r="N104" s="37"/>
      <c r="P104" s="47" t="s">
        <v>404</v>
      </c>
      <c r="Q104" s="54"/>
      <c r="R104" s="55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48">
        <f t="shared" si="6"/>
        <v>0</v>
      </c>
      <c r="AS104" s="22" t="s">
        <v>404</v>
      </c>
      <c r="AT104" s="22">
        <v>503099</v>
      </c>
      <c r="AU104" s="32"/>
      <c r="AV104" s="22">
        <f t="shared" si="7"/>
        <v>0</v>
      </c>
      <c r="AW104" s="37"/>
      <c r="AX104" s="37"/>
      <c r="AY104" s="37"/>
      <c r="AZ104" s="37"/>
      <c r="BA104" s="37"/>
      <c r="BB104" s="37"/>
      <c r="BC104" s="37"/>
      <c r="BD104" s="37"/>
      <c r="BE104" s="29">
        <f t="shared" si="8"/>
        <v>0</v>
      </c>
    </row>
    <row r="105" spans="4:57" x14ac:dyDescent="0.35">
      <c r="D105" s="22" t="s">
        <v>405</v>
      </c>
      <c r="E105" s="32"/>
      <c r="F105" s="46"/>
      <c r="G105" s="33"/>
      <c r="I105" s="22" t="s">
        <v>405</v>
      </c>
      <c r="J105" s="32"/>
      <c r="K105" s="34"/>
      <c r="L105" s="32"/>
      <c r="M105" s="32"/>
      <c r="N105" s="37"/>
      <c r="P105" s="26" t="s">
        <v>405</v>
      </c>
      <c r="Q105" s="51"/>
      <c r="R105" s="52"/>
      <c r="S105" s="52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25">
        <f t="shared" ref="AQ105:AQ136" si="9">$R$8*R105+$S$8*S105+$T$8*T105+$U$8*U105+$V$8*V105+$W$8*W105+$X$8*X105+$Y$8*Y105+$Z$8*Z105+$AA$8*AA105+$AB$8*AB105+$AC$8*AC105+$AD$8*AD105+$AE$8*AE105+$AF$8*AF105+$AG$8*AG105+$AH$8*AH105+$AI$8*AI105+$AJ$8*AJ105+$AP$8*AP105+$AK$8*AK105+$AL$8*AL105+$AM$8*AM105+$AN$8*AN105+$AO$8*AO105</f>
        <v>0</v>
      </c>
      <c r="AS105" s="22" t="s">
        <v>405</v>
      </c>
      <c r="AT105" s="22">
        <v>503099</v>
      </c>
      <c r="AU105" s="32"/>
      <c r="AV105" s="22">
        <f t="shared" ref="AV105:AV136" si="10">AQ105</f>
        <v>0</v>
      </c>
      <c r="AW105" s="37"/>
      <c r="AX105" s="37"/>
      <c r="AY105" s="37"/>
      <c r="AZ105" s="37"/>
      <c r="BA105" s="37"/>
      <c r="BB105" s="37"/>
      <c r="BC105" s="37"/>
      <c r="BD105" s="37"/>
      <c r="BE105" s="29">
        <f t="shared" ref="BE105:BE136" si="11">AV105+AX105+AZ105+BB105+BD105</f>
        <v>0</v>
      </c>
    </row>
    <row r="106" spans="4:57" x14ac:dyDescent="0.35">
      <c r="D106" s="22" t="s">
        <v>406</v>
      </c>
      <c r="E106" s="32"/>
      <c r="F106" s="46"/>
      <c r="G106" s="33"/>
      <c r="I106" s="22" t="s">
        <v>406</v>
      </c>
      <c r="J106" s="32"/>
      <c r="K106" s="34"/>
      <c r="L106" s="32"/>
      <c r="M106" s="32"/>
      <c r="N106" s="37"/>
      <c r="P106" s="47" t="s">
        <v>406</v>
      </c>
      <c r="Q106" s="54"/>
      <c r="R106" s="55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48">
        <f t="shared" si="9"/>
        <v>0</v>
      </c>
      <c r="AS106" s="22" t="s">
        <v>406</v>
      </c>
      <c r="AT106" s="22">
        <v>503099</v>
      </c>
      <c r="AU106" s="32"/>
      <c r="AV106" s="22">
        <f t="shared" si="10"/>
        <v>0</v>
      </c>
      <c r="AW106" s="37"/>
      <c r="AX106" s="37"/>
      <c r="AY106" s="37"/>
      <c r="AZ106" s="37"/>
      <c r="BA106" s="37"/>
      <c r="BB106" s="37"/>
      <c r="BC106" s="37"/>
      <c r="BD106" s="37"/>
      <c r="BE106" s="29">
        <f t="shared" si="11"/>
        <v>0</v>
      </c>
    </row>
    <row r="107" spans="4:57" x14ac:dyDescent="0.35">
      <c r="D107" s="22" t="s">
        <v>407</v>
      </c>
      <c r="E107" s="32"/>
      <c r="F107" s="46"/>
      <c r="G107" s="33"/>
      <c r="I107" s="22" t="s">
        <v>407</v>
      </c>
      <c r="J107" s="32"/>
      <c r="K107" s="34"/>
      <c r="L107" s="32"/>
      <c r="M107" s="32"/>
      <c r="N107" s="37"/>
      <c r="P107" s="26" t="s">
        <v>407</v>
      </c>
      <c r="Q107" s="51"/>
      <c r="R107" s="52"/>
      <c r="S107" s="52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25">
        <f t="shared" si="9"/>
        <v>0</v>
      </c>
      <c r="AS107" s="22" t="s">
        <v>407</v>
      </c>
      <c r="AT107" s="22">
        <v>503099</v>
      </c>
      <c r="AU107" s="32"/>
      <c r="AV107" s="22">
        <f t="shared" si="10"/>
        <v>0</v>
      </c>
      <c r="AW107" s="37"/>
      <c r="AX107" s="37"/>
      <c r="AY107" s="37"/>
      <c r="AZ107" s="37"/>
      <c r="BA107" s="37"/>
      <c r="BB107" s="37"/>
      <c r="BC107" s="37"/>
      <c r="BD107" s="37"/>
      <c r="BE107" s="29">
        <f t="shared" si="11"/>
        <v>0</v>
      </c>
    </row>
    <row r="108" spans="4:57" x14ac:dyDescent="0.35">
      <c r="D108" s="22" t="s">
        <v>408</v>
      </c>
      <c r="E108" s="32"/>
      <c r="F108" s="46"/>
      <c r="G108" s="33"/>
      <c r="I108" s="22" t="s">
        <v>408</v>
      </c>
      <c r="J108" s="32"/>
      <c r="K108" s="34"/>
      <c r="L108" s="32"/>
      <c r="M108" s="32"/>
      <c r="N108" s="37"/>
      <c r="P108" s="47" t="s">
        <v>408</v>
      </c>
      <c r="Q108" s="54"/>
      <c r="R108" s="55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48">
        <f t="shared" si="9"/>
        <v>0</v>
      </c>
      <c r="AS108" s="22" t="s">
        <v>408</v>
      </c>
      <c r="AT108" s="22">
        <v>503099</v>
      </c>
      <c r="AU108" s="32"/>
      <c r="AV108" s="22">
        <f t="shared" si="10"/>
        <v>0</v>
      </c>
      <c r="AW108" s="37"/>
      <c r="AX108" s="37"/>
      <c r="AY108" s="37"/>
      <c r="AZ108" s="37"/>
      <c r="BA108" s="37"/>
      <c r="BB108" s="37"/>
      <c r="BC108" s="37"/>
      <c r="BD108" s="37"/>
      <c r="BE108" s="29">
        <f t="shared" si="11"/>
        <v>0</v>
      </c>
    </row>
    <row r="109" spans="4:57" x14ac:dyDescent="0.35">
      <c r="D109" s="22" t="s">
        <v>409</v>
      </c>
      <c r="E109" s="32"/>
      <c r="F109" s="46"/>
      <c r="G109" s="33"/>
      <c r="I109" s="22" t="s">
        <v>409</v>
      </c>
      <c r="J109" s="32"/>
      <c r="K109" s="34"/>
      <c r="L109" s="32"/>
      <c r="M109" s="32"/>
      <c r="N109" s="37"/>
      <c r="P109" s="26" t="s">
        <v>409</v>
      </c>
      <c r="Q109" s="51"/>
      <c r="R109" s="52"/>
      <c r="S109" s="52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25">
        <f t="shared" si="9"/>
        <v>0</v>
      </c>
      <c r="AS109" s="22" t="s">
        <v>409</v>
      </c>
      <c r="AT109" s="22">
        <v>503099</v>
      </c>
      <c r="AU109" s="32"/>
      <c r="AV109" s="22">
        <f t="shared" si="10"/>
        <v>0</v>
      </c>
      <c r="AW109" s="37"/>
      <c r="AX109" s="37"/>
      <c r="AY109" s="37"/>
      <c r="AZ109" s="37"/>
      <c r="BA109" s="37"/>
      <c r="BB109" s="37"/>
      <c r="BC109" s="37"/>
      <c r="BD109" s="37"/>
      <c r="BE109" s="29">
        <f t="shared" si="11"/>
        <v>0</v>
      </c>
    </row>
    <row r="110" spans="4:57" x14ac:dyDescent="0.35">
      <c r="D110" s="22" t="s">
        <v>410</v>
      </c>
      <c r="E110" s="32"/>
      <c r="F110" s="46"/>
      <c r="G110" s="33"/>
      <c r="I110" s="22" t="s">
        <v>410</v>
      </c>
      <c r="J110" s="32"/>
      <c r="K110" s="34"/>
      <c r="L110" s="32"/>
      <c r="M110" s="32"/>
      <c r="N110" s="37"/>
      <c r="P110" s="47" t="s">
        <v>410</v>
      </c>
      <c r="Q110" s="54"/>
      <c r="R110" s="55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48">
        <f t="shared" si="9"/>
        <v>0</v>
      </c>
      <c r="AS110" s="22" t="s">
        <v>410</v>
      </c>
      <c r="AT110" s="22">
        <v>503099</v>
      </c>
      <c r="AU110" s="32"/>
      <c r="AV110" s="22">
        <f t="shared" si="10"/>
        <v>0</v>
      </c>
      <c r="AW110" s="37"/>
      <c r="AX110" s="37"/>
      <c r="AY110" s="37"/>
      <c r="AZ110" s="37"/>
      <c r="BA110" s="37"/>
      <c r="BB110" s="37"/>
      <c r="BC110" s="37"/>
      <c r="BD110" s="37"/>
      <c r="BE110" s="29">
        <f t="shared" si="11"/>
        <v>0</v>
      </c>
    </row>
    <row r="111" spans="4:57" x14ac:dyDescent="0.35">
      <c r="D111" s="22" t="s">
        <v>411</v>
      </c>
      <c r="E111" s="32"/>
      <c r="F111" s="46"/>
      <c r="G111" s="33"/>
      <c r="I111" s="22" t="s">
        <v>411</v>
      </c>
      <c r="J111" s="32"/>
      <c r="K111" s="34"/>
      <c r="L111" s="32"/>
      <c r="M111" s="32"/>
      <c r="N111" s="37"/>
      <c r="P111" s="26" t="s">
        <v>411</v>
      </c>
      <c r="Q111" s="51"/>
      <c r="R111" s="52"/>
      <c r="S111" s="52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25">
        <f t="shared" si="9"/>
        <v>0</v>
      </c>
      <c r="AS111" s="22" t="s">
        <v>411</v>
      </c>
      <c r="AT111" s="22">
        <v>503099</v>
      </c>
      <c r="AU111" s="32"/>
      <c r="AV111" s="22">
        <f t="shared" si="10"/>
        <v>0</v>
      </c>
      <c r="AW111" s="37"/>
      <c r="AX111" s="37"/>
      <c r="AY111" s="37"/>
      <c r="AZ111" s="37"/>
      <c r="BA111" s="37"/>
      <c r="BB111" s="37"/>
      <c r="BC111" s="37"/>
      <c r="BD111" s="37"/>
      <c r="BE111" s="29">
        <f t="shared" si="11"/>
        <v>0</v>
      </c>
    </row>
    <row r="112" spans="4:57" x14ac:dyDescent="0.35">
      <c r="D112" s="22" t="s">
        <v>412</v>
      </c>
      <c r="E112" s="32"/>
      <c r="F112" s="46"/>
      <c r="G112" s="33"/>
      <c r="I112" s="22" t="s">
        <v>412</v>
      </c>
      <c r="J112" s="32"/>
      <c r="K112" s="34"/>
      <c r="L112" s="32"/>
      <c r="M112" s="32"/>
      <c r="N112" s="37"/>
      <c r="P112" s="47" t="s">
        <v>412</v>
      </c>
      <c r="Q112" s="54"/>
      <c r="R112" s="55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48">
        <f t="shared" si="9"/>
        <v>0</v>
      </c>
      <c r="AS112" s="22" t="s">
        <v>412</v>
      </c>
      <c r="AT112" s="22">
        <v>503099</v>
      </c>
      <c r="AU112" s="32"/>
      <c r="AV112" s="22">
        <f t="shared" si="10"/>
        <v>0</v>
      </c>
      <c r="AW112" s="37"/>
      <c r="AX112" s="37"/>
      <c r="AY112" s="37"/>
      <c r="AZ112" s="37"/>
      <c r="BA112" s="37"/>
      <c r="BB112" s="37"/>
      <c r="BC112" s="37"/>
      <c r="BD112" s="37"/>
      <c r="BE112" s="29">
        <f t="shared" si="11"/>
        <v>0</v>
      </c>
    </row>
    <row r="113" spans="4:57" x14ac:dyDescent="0.35">
      <c r="D113" s="22" t="s">
        <v>413</v>
      </c>
      <c r="E113" s="32"/>
      <c r="F113" s="46"/>
      <c r="G113" s="33"/>
      <c r="I113" s="22" t="s">
        <v>413</v>
      </c>
      <c r="J113" s="32"/>
      <c r="K113" s="34"/>
      <c r="L113" s="32"/>
      <c r="M113" s="32"/>
      <c r="N113" s="37"/>
      <c r="P113" s="26" t="s">
        <v>413</v>
      </c>
      <c r="Q113" s="51"/>
      <c r="R113" s="52"/>
      <c r="S113" s="52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25">
        <f t="shared" si="9"/>
        <v>0</v>
      </c>
      <c r="AS113" s="22" t="s">
        <v>413</v>
      </c>
      <c r="AT113" s="22">
        <v>503099</v>
      </c>
      <c r="AU113" s="32"/>
      <c r="AV113" s="22">
        <f t="shared" si="10"/>
        <v>0</v>
      </c>
      <c r="AW113" s="37"/>
      <c r="AX113" s="37"/>
      <c r="AY113" s="37"/>
      <c r="AZ113" s="37"/>
      <c r="BA113" s="37"/>
      <c r="BB113" s="37"/>
      <c r="BC113" s="37"/>
      <c r="BD113" s="37"/>
      <c r="BE113" s="29">
        <f t="shared" si="11"/>
        <v>0</v>
      </c>
    </row>
    <row r="114" spans="4:57" x14ac:dyDescent="0.35">
      <c r="D114" s="22" t="s">
        <v>414</v>
      </c>
      <c r="E114" s="32"/>
      <c r="F114" s="46"/>
      <c r="G114" s="33"/>
      <c r="I114" s="22" t="s">
        <v>414</v>
      </c>
      <c r="J114" s="32"/>
      <c r="K114" s="34"/>
      <c r="L114" s="32"/>
      <c r="M114" s="32"/>
      <c r="N114" s="37"/>
      <c r="P114" s="47" t="s">
        <v>414</v>
      </c>
      <c r="Q114" s="54"/>
      <c r="R114" s="55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48">
        <f t="shared" si="9"/>
        <v>0</v>
      </c>
      <c r="AS114" s="22" t="s">
        <v>414</v>
      </c>
      <c r="AT114" s="22">
        <v>503099</v>
      </c>
      <c r="AU114" s="32"/>
      <c r="AV114" s="22">
        <f t="shared" si="10"/>
        <v>0</v>
      </c>
      <c r="AW114" s="37"/>
      <c r="AX114" s="37"/>
      <c r="AY114" s="37"/>
      <c r="AZ114" s="37"/>
      <c r="BA114" s="37"/>
      <c r="BB114" s="37"/>
      <c r="BC114" s="37"/>
      <c r="BD114" s="37"/>
      <c r="BE114" s="29">
        <f t="shared" si="11"/>
        <v>0</v>
      </c>
    </row>
    <row r="115" spans="4:57" x14ac:dyDescent="0.35">
      <c r="D115" s="22" t="s">
        <v>415</v>
      </c>
      <c r="E115" s="32"/>
      <c r="F115" s="46"/>
      <c r="G115" s="33"/>
      <c r="I115" s="22" t="s">
        <v>415</v>
      </c>
      <c r="J115" s="32"/>
      <c r="K115" s="34"/>
      <c r="L115" s="32"/>
      <c r="M115" s="32"/>
      <c r="N115" s="37"/>
      <c r="P115" s="26" t="s">
        <v>415</v>
      </c>
      <c r="Q115" s="51"/>
      <c r="R115" s="52"/>
      <c r="S115" s="52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25">
        <f t="shared" si="9"/>
        <v>0</v>
      </c>
      <c r="AS115" s="22" t="s">
        <v>415</v>
      </c>
      <c r="AT115" s="22">
        <v>503099</v>
      </c>
      <c r="AU115" s="32"/>
      <c r="AV115" s="22">
        <f t="shared" si="10"/>
        <v>0</v>
      </c>
      <c r="AW115" s="37"/>
      <c r="AX115" s="37"/>
      <c r="AY115" s="37"/>
      <c r="AZ115" s="37"/>
      <c r="BA115" s="37"/>
      <c r="BB115" s="37"/>
      <c r="BC115" s="37"/>
      <c r="BD115" s="37"/>
      <c r="BE115" s="29">
        <f t="shared" si="11"/>
        <v>0</v>
      </c>
    </row>
    <row r="116" spans="4:57" x14ac:dyDescent="0.35">
      <c r="D116" s="22" t="s">
        <v>416</v>
      </c>
      <c r="E116" s="32"/>
      <c r="F116" s="46"/>
      <c r="G116" s="33"/>
      <c r="I116" s="22" t="s">
        <v>416</v>
      </c>
      <c r="J116" s="32"/>
      <c r="K116" s="34"/>
      <c r="L116" s="32"/>
      <c r="M116" s="32"/>
      <c r="N116" s="37"/>
      <c r="P116" s="47" t="s">
        <v>416</v>
      </c>
      <c r="Q116" s="54"/>
      <c r="R116" s="55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48">
        <f t="shared" si="9"/>
        <v>0</v>
      </c>
      <c r="AS116" s="22" t="s">
        <v>416</v>
      </c>
      <c r="AT116" s="22">
        <v>503099</v>
      </c>
      <c r="AU116" s="32"/>
      <c r="AV116" s="22">
        <f t="shared" si="10"/>
        <v>0</v>
      </c>
      <c r="AW116" s="37"/>
      <c r="AX116" s="37"/>
      <c r="AY116" s="37"/>
      <c r="AZ116" s="37"/>
      <c r="BA116" s="37"/>
      <c r="BB116" s="37"/>
      <c r="BC116" s="37"/>
      <c r="BD116" s="37"/>
      <c r="BE116" s="29">
        <f t="shared" si="11"/>
        <v>0</v>
      </c>
    </row>
    <row r="117" spans="4:57" x14ac:dyDescent="0.35">
      <c r="D117" s="22" t="s">
        <v>417</v>
      </c>
      <c r="E117" s="32"/>
      <c r="F117" s="46"/>
      <c r="G117" s="33"/>
      <c r="I117" s="22" t="s">
        <v>417</v>
      </c>
      <c r="J117" s="32"/>
      <c r="K117" s="34"/>
      <c r="L117" s="32"/>
      <c r="M117" s="32"/>
      <c r="N117" s="37"/>
      <c r="P117" s="26" t="s">
        <v>417</v>
      </c>
      <c r="Q117" s="51"/>
      <c r="R117" s="52"/>
      <c r="S117" s="52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25">
        <f t="shared" si="9"/>
        <v>0</v>
      </c>
      <c r="AS117" s="22" t="s">
        <v>417</v>
      </c>
      <c r="AT117" s="22">
        <v>503099</v>
      </c>
      <c r="AU117" s="32"/>
      <c r="AV117" s="22">
        <f t="shared" si="10"/>
        <v>0</v>
      </c>
      <c r="AW117" s="37"/>
      <c r="AX117" s="37"/>
      <c r="AY117" s="37"/>
      <c r="AZ117" s="37"/>
      <c r="BA117" s="37"/>
      <c r="BB117" s="37"/>
      <c r="BC117" s="37"/>
      <c r="BD117" s="37"/>
      <c r="BE117" s="29">
        <f t="shared" si="11"/>
        <v>0</v>
      </c>
    </row>
    <row r="118" spans="4:57" x14ac:dyDescent="0.35">
      <c r="D118" s="22" t="s">
        <v>418</v>
      </c>
      <c r="E118" s="32"/>
      <c r="F118" s="46"/>
      <c r="G118" s="33"/>
      <c r="I118" s="22" t="s">
        <v>418</v>
      </c>
      <c r="J118" s="32"/>
      <c r="K118" s="34"/>
      <c r="L118" s="32"/>
      <c r="M118" s="32"/>
      <c r="N118" s="37"/>
      <c r="P118" s="47" t="s">
        <v>418</v>
      </c>
      <c r="Q118" s="54"/>
      <c r="R118" s="55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48">
        <f t="shared" si="9"/>
        <v>0</v>
      </c>
      <c r="AS118" s="22" t="s">
        <v>418</v>
      </c>
      <c r="AT118" s="22">
        <v>503099</v>
      </c>
      <c r="AU118" s="32"/>
      <c r="AV118" s="22">
        <f t="shared" si="10"/>
        <v>0</v>
      </c>
      <c r="AW118" s="37"/>
      <c r="AX118" s="37"/>
      <c r="AY118" s="37"/>
      <c r="AZ118" s="37"/>
      <c r="BA118" s="37"/>
      <c r="BB118" s="37"/>
      <c r="BC118" s="37"/>
      <c r="BD118" s="37"/>
      <c r="BE118" s="29">
        <f t="shared" si="11"/>
        <v>0</v>
      </c>
    </row>
    <row r="119" spans="4:57" x14ac:dyDescent="0.35">
      <c r="D119" s="22" t="s">
        <v>419</v>
      </c>
      <c r="E119" s="32"/>
      <c r="F119" s="46"/>
      <c r="G119" s="33"/>
      <c r="I119" s="22" t="s">
        <v>419</v>
      </c>
      <c r="J119" s="32"/>
      <c r="K119" s="34"/>
      <c r="L119" s="32"/>
      <c r="M119" s="32"/>
      <c r="N119" s="37"/>
      <c r="P119" s="26" t="s">
        <v>419</v>
      </c>
      <c r="Q119" s="51"/>
      <c r="R119" s="52"/>
      <c r="S119" s="52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25">
        <f t="shared" si="9"/>
        <v>0</v>
      </c>
      <c r="AS119" s="22" t="s">
        <v>419</v>
      </c>
      <c r="AT119" s="22">
        <v>503099</v>
      </c>
      <c r="AU119" s="32"/>
      <c r="AV119" s="22">
        <f t="shared" si="10"/>
        <v>0</v>
      </c>
      <c r="AW119" s="37"/>
      <c r="AX119" s="37"/>
      <c r="AY119" s="37"/>
      <c r="AZ119" s="37"/>
      <c r="BA119" s="37"/>
      <c r="BB119" s="37"/>
      <c r="BC119" s="37"/>
      <c r="BD119" s="37"/>
      <c r="BE119" s="29">
        <f t="shared" si="11"/>
        <v>0</v>
      </c>
    </row>
    <row r="120" spans="4:57" x14ac:dyDescent="0.35">
      <c r="D120" s="22" t="s">
        <v>420</v>
      </c>
      <c r="E120" s="32"/>
      <c r="F120" s="46"/>
      <c r="G120" s="33"/>
      <c r="I120" s="22" t="s">
        <v>420</v>
      </c>
      <c r="J120" s="32"/>
      <c r="K120" s="34"/>
      <c r="L120" s="32"/>
      <c r="M120" s="32"/>
      <c r="N120" s="37"/>
      <c r="P120" s="47" t="s">
        <v>420</v>
      </c>
      <c r="Q120" s="54"/>
      <c r="R120" s="55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48">
        <f t="shared" si="9"/>
        <v>0</v>
      </c>
      <c r="AS120" s="22" t="s">
        <v>420</v>
      </c>
      <c r="AT120" s="22">
        <v>503099</v>
      </c>
      <c r="AU120" s="32"/>
      <c r="AV120" s="22">
        <f t="shared" si="10"/>
        <v>0</v>
      </c>
      <c r="AW120" s="37"/>
      <c r="AX120" s="37"/>
      <c r="AY120" s="37"/>
      <c r="AZ120" s="37"/>
      <c r="BA120" s="37"/>
      <c r="BB120" s="37"/>
      <c r="BC120" s="37"/>
      <c r="BD120" s="37"/>
      <c r="BE120" s="29">
        <f t="shared" si="11"/>
        <v>0</v>
      </c>
    </row>
    <row r="121" spans="4:57" x14ac:dyDescent="0.35">
      <c r="D121" s="22" t="s">
        <v>421</v>
      </c>
      <c r="E121" s="32"/>
      <c r="F121" s="46"/>
      <c r="G121" s="33"/>
      <c r="I121" s="22" t="s">
        <v>421</v>
      </c>
      <c r="J121" s="32"/>
      <c r="K121" s="34"/>
      <c r="L121" s="32"/>
      <c r="M121" s="32"/>
      <c r="N121" s="37"/>
      <c r="P121" s="26" t="s">
        <v>421</v>
      </c>
      <c r="Q121" s="51"/>
      <c r="R121" s="52"/>
      <c r="S121" s="52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25">
        <f t="shared" si="9"/>
        <v>0</v>
      </c>
      <c r="AS121" s="22" t="s">
        <v>421</v>
      </c>
      <c r="AT121" s="22">
        <v>503099</v>
      </c>
      <c r="AU121" s="32"/>
      <c r="AV121" s="22">
        <f t="shared" si="10"/>
        <v>0</v>
      </c>
      <c r="AW121" s="37"/>
      <c r="AX121" s="37"/>
      <c r="AY121" s="37"/>
      <c r="AZ121" s="37"/>
      <c r="BA121" s="37"/>
      <c r="BB121" s="37"/>
      <c r="BC121" s="37"/>
      <c r="BD121" s="37"/>
      <c r="BE121" s="29">
        <f t="shared" si="11"/>
        <v>0</v>
      </c>
    </row>
    <row r="122" spans="4:57" x14ac:dyDescent="0.35">
      <c r="D122" s="22" t="s">
        <v>422</v>
      </c>
      <c r="E122" s="32"/>
      <c r="F122" s="46"/>
      <c r="G122" s="33"/>
      <c r="I122" s="22" t="s">
        <v>422</v>
      </c>
      <c r="J122" s="32"/>
      <c r="K122" s="34"/>
      <c r="L122" s="32"/>
      <c r="M122" s="32"/>
      <c r="N122" s="37"/>
      <c r="P122" s="47" t="s">
        <v>422</v>
      </c>
      <c r="Q122" s="54"/>
      <c r="R122" s="55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48">
        <f t="shared" si="9"/>
        <v>0</v>
      </c>
      <c r="AS122" s="22" t="s">
        <v>422</v>
      </c>
      <c r="AT122" s="22">
        <v>503099</v>
      </c>
      <c r="AU122" s="32"/>
      <c r="AV122" s="22">
        <f t="shared" si="10"/>
        <v>0</v>
      </c>
      <c r="AW122" s="37"/>
      <c r="AX122" s="37"/>
      <c r="AY122" s="37"/>
      <c r="AZ122" s="37"/>
      <c r="BA122" s="37"/>
      <c r="BB122" s="37"/>
      <c r="BC122" s="37"/>
      <c r="BD122" s="37"/>
      <c r="BE122" s="29">
        <f t="shared" si="11"/>
        <v>0</v>
      </c>
    </row>
    <row r="123" spans="4:57" x14ac:dyDescent="0.35">
      <c r="D123" s="22" t="s">
        <v>423</v>
      </c>
      <c r="E123" s="32"/>
      <c r="F123" s="46"/>
      <c r="G123" s="33"/>
      <c r="I123" s="22" t="s">
        <v>423</v>
      </c>
      <c r="J123" s="32"/>
      <c r="K123" s="34"/>
      <c r="L123" s="32"/>
      <c r="M123" s="32"/>
      <c r="N123" s="37"/>
      <c r="P123" s="26" t="s">
        <v>423</v>
      </c>
      <c r="Q123" s="51"/>
      <c r="R123" s="52"/>
      <c r="S123" s="52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25">
        <f t="shared" si="9"/>
        <v>0</v>
      </c>
      <c r="AS123" s="22" t="s">
        <v>423</v>
      </c>
      <c r="AT123" s="22">
        <v>503099</v>
      </c>
      <c r="AU123" s="32"/>
      <c r="AV123" s="22">
        <f t="shared" si="10"/>
        <v>0</v>
      </c>
      <c r="AW123" s="37"/>
      <c r="AX123" s="37"/>
      <c r="AY123" s="37"/>
      <c r="AZ123" s="37"/>
      <c r="BA123" s="37"/>
      <c r="BB123" s="37"/>
      <c r="BC123" s="37"/>
      <c r="BD123" s="37"/>
      <c r="BE123" s="29">
        <f t="shared" si="11"/>
        <v>0</v>
      </c>
    </row>
    <row r="124" spans="4:57" x14ac:dyDescent="0.35">
      <c r="D124" s="22" t="s">
        <v>424</v>
      </c>
      <c r="E124" s="32"/>
      <c r="F124" s="46"/>
      <c r="G124" s="33"/>
      <c r="I124" s="22" t="s">
        <v>424</v>
      </c>
      <c r="J124" s="32"/>
      <c r="K124" s="34"/>
      <c r="L124" s="32"/>
      <c r="M124" s="32"/>
      <c r="N124" s="37"/>
      <c r="P124" s="47" t="s">
        <v>424</v>
      </c>
      <c r="Q124" s="54"/>
      <c r="R124" s="55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48">
        <f t="shared" si="9"/>
        <v>0</v>
      </c>
      <c r="AS124" s="22" t="s">
        <v>424</v>
      </c>
      <c r="AT124" s="22">
        <v>503099</v>
      </c>
      <c r="AU124" s="32"/>
      <c r="AV124" s="22">
        <f t="shared" si="10"/>
        <v>0</v>
      </c>
      <c r="AW124" s="37"/>
      <c r="AX124" s="37"/>
      <c r="AY124" s="37"/>
      <c r="AZ124" s="37"/>
      <c r="BA124" s="37"/>
      <c r="BB124" s="37"/>
      <c r="BC124" s="37"/>
      <c r="BD124" s="37"/>
      <c r="BE124" s="29">
        <f t="shared" si="11"/>
        <v>0</v>
      </c>
    </row>
    <row r="125" spans="4:57" x14ac:dyDescent="0.35">
      <c r="D125" s="22" t="s">
        <v>425</v>
      </c>
      <c r="E125" s="32"/>
      <c r="F125" s="46"/>
      <c r="G125" s="33"/>
      <c r="I125" s="22" t="s">
        <v>425</v>
      </c>
      <c r="J125" s="32"/>
      <c r="K125" s="34"/>
      <c r="L125" s="32"/>
      <c r="M125" s="32"/>
      <c r="N125" s="37"/>
      <c r="P125" s="26" t="s">
        <v>425</v>
      </c>
      <c r="Q125" s="51"/>
      <c r="R125" s="52"/>
      <c r="S125" s="52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25">
        <f t="shared" si="9"/>
        <v>0</v>
      </c>
      <c r="AS125" s="22" t="s">
        <v>425</v>
      </c>
      <c r="AT125" s="22">
        <v>503099</v>
      </c>
      <c r="AU125" s="32"/>
      <c r="AV125" s="22">
        <f t="shared" si="10"/>
        <v>0</v>
      </c>
      <c r="AW125" s="37"/>
      <c r="AX125" s="37"/>
      <c r="AY125" s="37"/>
      <c r="AZ125" s="37"/>
      <c r="BA125" s="37"/>
      <c r="BB125" s="37"/>
      <c r="BC125" s="37"/>
      <c r="BD125" s="37"/>
      <c r="BE125" s="29">
        <f t="shared" si="11"/>
        <v>0</v>
      </c>
    </row>
    <row r="126" spans="4:57" x14ac:dyDescent="0.35">
      <c r="D126" s="22" t="s">
        <v>426</v>
      </c>
      <c r="E126" s="32"/>
      <c r="F126" s="46"/>
      <c r="G126" s="33"/>
      <c r="I126" s="22" t="s">
        <v>426</v>
      </c>
      <c r="J126" s="32"/>
      <c r="K126" s="34"/>
      <c r="L126" s="32"/>
      <c r="M126" s="32"/>
      <c r="N126" s="37"/>
      <c r="P126" s="47" t="s">
        <v>426</v>
      </c>
      <c r="Q126" s="54"/>
      <c r="R126" s="55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48">
        <f t="shared" si="9"/>
        <v>0</v>
      </c>
      <c r="AS126" s="22" t="s">
        <v>426</v>
      </c>
      <c r="AT126" s="22">
        <v>503099</v>
      </c>
      <c r="AU126" s="32"/>
      <c r="AV126" s="22">
        <f t="shared" si="10"/>
        <v>0</v>
      </c>
      <c r="AW126" s="37"/>
      <c r="AX126" s="37"/>
      <c r="AY126" s="37"/>
      <c r="AZ126" s="37"/>
      <c r="BA126" s="37"/>
      <c r="BB126" s="37"/>
      <c r="BC126" s="37"/>
      <c r="BD126" s="37"/>
      <c r="BE126" s="29">
        <f t="shared" si="11"/>
        <v>0</v>
      </c>
    </row>
    <row r="127" spans="4:57" x14ac:dyDescent="0.35">
      <c r="D127" s="22" t="s">
        <v>427</v>
      </c>
      <c r="E127" s="32"/>
      <c r="F127" s="46"/>
      <c r="G127" s="33"/>
      <c r="I127" s="22" t="s">
        <v>427</v>
      </c>
      <c r="J127" s="32"/>
      <c r="K127" s="34"/>
      <c r="L127" s="32"/>
      <c r="M127" s="32"/>
      <c r="N127" s="37"/>
      <c r="P127" s="26" t="s">
        <v>427</v>
      </c>
      <c r="Q127" s="51"/>
      <c r="R127" s="52"/>
      <c r="S127" s="52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25">
        <f t="shared" si="9"/>
        <v>0</v>
      </c>
      <c r="AS127" s="22" t="s">
        <v>427</v>
      </c>
      <c r="AT127" s="22">
        <v>503099</v>
      </c>
      <c r="AU127" s="32"/>
      <c r="AV127" s="22">
        <f t="shared" si="10"/>
        <v>0</v>
      </c>
      <c r="AW127" s="37"/>
      <c r="AX127" s="37"/>
      <c r="AY127" s="37"/>
      <c r="AZ127" s="37"/>
      <c r="BA127" s="37"/>
      <c r="BB127" s="37"/>
      <c r="BC127" s="37"/>
      <c r="BD127" s="37"/>
      <c r="BE127" s="29">
        <f t="shared" si="11"/>
        <v>0</v>
      </c>
    </row>
    <row r="128" spans="4:57" x14ac:dyDescent="0.35">
      <c r="D128" s="22" t="s">
        <v>428</v>
      </c>
      <c r="E128" s="32"/>
      <c r="F128" s="46"/>
      <c r="G128" s="33"/>
      <c r="I128" s="22" t="s">
        <v>428</v>
      </c>
      <c r="J128" s="32"/>
      <c r="K128" s="34"/>
      <c r="L128" s="32"/>
      <c r="M128" s="32"/>
      <c r="N128" s="37"/>
      <c r="P128" s="47" t="s">
        <v>428</v>
      </c>
      <c r="Q128" s="54"/>
      <c r="R128" s="55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48">
        <f t="shared" si="9"/>
        <v>0</v>
      </c>
      <c r="AS128" s="22" t="s">
        <v>428</v>
      </c>
      <c r="AT128" s="22">
        <v>503099</v>
      </c>
      <c r="AU128" s="32"/>
      <c r="AV128" s="22">
        <f t="shared" si="10"/>
        <v>0</v>
      </c>
      <c r="AW128" s="37"/>
      <c r="AX128" s="37"/>
      <c r="AY128" s="37"/>
      <c r="AZ128" s="37"/>
      <c r="BA128" s="37"/>
      <c r="BB128" s="37"/>
      <c r="BC128" s="37"/>
      <c r="BD128" s="37"/>
      <c r="BE128" s="29">
        <f t="shared" si="11"/>
        <v>0</v>
      </c>
    </row>
    <row r="129" spans="4:57" x14ac:dyDescent="0.35">
      <c r="D129" s="22" t="s">
        <v>429</v>
      </c>
      <c r="E129" s="32"/>
      <c r="F129" s="46"/>
      <c r="G129" s="33"/>
      <c r="I129" s="22" t="s">
        <v>429</v>
      </c>
      <c r="J129" s="32"/>
      <c r="K129" s="34"/>
      <c r="L129" s="32"/>
      <c r="M129" s="32"/>
      <c r="N129" s="37"/>
      <c r="P129" s="26" t="s">
        <v>429</v>
      </c>
      <c r="Q129" s="51"/>
      <c r="R129" s="52"/>
      <c r="S129" s="52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25">
        <f t="shared" si="9"/>
        <v>0</v>
      </c>
      <c r="AS129" s="22" t="s">
        <v>429</v>
      </c>
      <c r="AT129" s="22">
        <v>503099</v>
      </c>
      <c r="AU129" s="32"/>
      <c r="AV129" s="22">
        <f t="shared" si="10"/>
        <v>0</v>
      </c>
      <c r="AW129" s="37"/>
      <c r="AX129" s="37"/>
      <c r="AY129" s="37"/>
      <c r="AZ129" s="37"/>
      <c r="BA129" s="37"/>
      <c r="BB129" s="37"/>
      <c r="BC129" s="37"/>
      <c r="BD129" s="37"/>
      <c r="BE129" s="29">
        <f t="shared" si="11"/>
        <v>0</v>
      </c>
    </row>
    <row r="130" spans="4:57" x14ac:dyDescent="0.35">
      <c r="D130" s="22" t="s">
        <v>430</v>
      </c>
      <c r="E130" s="32"/>
      <c r="F130" s="46"/>
      <c r="G130" s="33"/>
      <c r="I130" s="22" t="s">
        <v>430</v>
      </c>
      <c r="J130" s="32"/>
      <c r="K130" s="34"/>
      <c r="L130" s="32"/>
      <c r="M130" s="32"/>
      <c r="N130" s="37"/>
      <c r="P130" s="47" t="s">
        <v>430</v>
      </c>
      <c r="Q130" s="54"/>
      <c r="R130" s="55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48">
        <f t="shared" si="9"/>
        <v>0</v>
      </c>
      <c r="AS130" s="22" t="s">
        <v>430</v>
      </c>
      <c r="AT130" s="22">
        <v>503099</v>
      </c>
      <c r="AU130" s="32"/>
      <c r="AV130" s="22">
        <f t="shared" si="10"/>
        <v>0</v>
      </c>
      <c r="AW130" s="37"/>
      <c r="AX130" s="37"/>
      <c r="AY130" s="37"/>
      <c r="AZ130" s="37"/>
      <c r="BA130" s="37"/>
      <c r="BB130" s="37"/>
      <c r="BC130" s="37"/>
      <c r="BD130" s="37"/>
      <c r="BE130" s="29">
        <f t="shared" si="11"/>
        <v>0</v>
      </c>
    </row>
    <row r="131" spans="4:57" x14ac:dyDescent="0.35">
      <c r="D131" s="22" t="s">
        <v>431</v>
      </c>
      <c r="E131" s="32"/>
      <c r="F131" s="46"/>
      <c r="G131" s="33"/>
      <c r="I131" s="22" t="s">
        <v>431</v>
      </c>
      <c r="J131" s="32"/>
      <c r="K131" s="34"/>
      <c r="L131" s="32"/>
      <c r="M131" s="32"/>
      <c r="N131" s="37"/>
      <c r="P131" s="26" t="s">
        <v>431</v>
      </c>
      <c r="Q131" s="51"/>
      <c r="R131" s="52"/>
      <c r="S131" s="52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25">
        <f t="shared" si="9"/>
        <v>0</v>
      </c>
      <c r="AS131" s="22" t="s">
        <v>431</v>
      </c>
      <c r="AT131" s="22">
        <v>503099</v>
      </c>
      <c r="AU131" s="32"/>
      <c r="AV131" s="22">
        <f t="shared" si="10"/>
        <v>0</v>
      </c>
      <c r="AW131" s="37"/>
      <c r="AX131" s="37"/>
      <c r="AY131" s="37"/>
      <c r="AZ131" s="37"/>
      <c r="BA131" s="37"/>
      <c r="BB131" s="37"/>
      <c r="BC131" s="37"/>
      <c r="BD131" s="37"/>
      <c r="BE131" s="29">
        <f t="shared" si="11"/>
        <v>0</v>
      </c>
    </row>
    <row r="132" spans="4:57" x14ac:dyDescent="0.35">
      <c r="D132" s="22" t="s">
        <v>432</v>
      </c>
      <c r="E132" s="32"/>
      <c r="F132" s="46"/>
      <c r="G132" s="33"/>
      <c r="I132" s="22" t="s">
        <v>432</v>
      </c>
      <c r="J132" s="32"/>
      <c r="K132" s="34"/>
      <c r="L132" s="32"/>
      <c r="M132" s="32"/>
      <c r="N132" s="37"/>
      <c r="P132" s="47" t="s">
        <v>432</v>
      </c>
      <c r="Q132" s="54"/>
      <c r="R132" s="55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48">
        <f t="shared" si="9"/>
        <v>0</v>
      </c>
      <c r="AS132" s="22" t="s">
        <v>432</v>
      </c>
      <c r="AT132" s="22">
        <v>503099</v>
      </c>
      <c r="AU132" s="32"/>
      <c r="AV132" s="22">
        <f t="shared" si="10"/>
        <v>0</v>
      </c>
      <c r="AW132" s="37"/>
      <c r="AX132" s="37"/>
      <c r="AY132" s="37"/>
      <c r="AZ132" s="37"/>
      <c r="BA132" s="37"/>
      <c r="BB132" s="37"/>
      <c r="BC132" s="37"/>
      <c r="BD132" s="37"/>
      <c r="BE132" s="29">
        <f t="shared" si="11"/>
        <v>0</v>
      </c>
    </row>
    <row r="133" spans="4:57" x14ac:dyDescent="0.35">
      <c r="D133" s="22" t="s">
        <v>433</v>
      </c>
      <c r="E133" s="32"/>
      <c r="F133" s="46"/>
      <c r="G133" s="33"/>
      <c r="I133" s="22" t="s">
        <v>433</v>
      </c>
      <c r="J133" s="32"/>
      <c r="K133" s="34"/>
      <c r="L133" s="32"/>
      <c r="M133" s="32"/>
      <c r="N133" s="37"/>
      <c r="P133" s="26" t="s">
        <v>433</v>
      </c>
      <c r="Q133" s="51"/>
      <c r="R133" s="52"/>
      <c r="S133" s="52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25">
        <f t="shared" si="9"/>
        <v>0</v>
      </c>
      <c r="AS133" s="22" t="s">
        <v>433</v>
      </c>
      <c r="AT133" s="22">
        <v>503099</v>
      </c>
      <c r="AU133" s="32"/>
      <c r="AV133" s="22">
        <f t="shared" si="10"/>
        <v>0</v>
      </c>
      <c r="AW133" s="37"/>
      <c r="AX133" s="37"/>
      <c r="AY133" s="37"/>
      <c r="AZ133" s="37"/>
      <c r="BA133" s="37"/>
      <c r="BB133" s="37"/>
      <c r="BC133" s="37"/>
      <c r="BD133" s="37"/>
      <c r="BE133" s="29">
        <f t="shared" si="11"/>
        <v>0</v>
      </c>
    </row>
    <row r="134" spans="4:57" x14ac:dyDescent="0.35">
      <c r="D134" s="22" t="s">
        <v>434</v>
      </c>
      <c r="E134" s="32"/>
      <c r="F134" s="46"/>
      <c r="G134" s="33"/>
      <c r="I134" s="22" t="s">
        <v>434</v>
      </c>
      <c r="J134" s="32"/>
      <c r="K134" s="34"/>
      <c r="L134" s="32"/>
      <c r="M134" s="32"/>
      <c r="N134" s="37"/>
      <c r="P134" s="47" t="s">
        <v>434</v>
      </c>
      <c r="Q134" s="54"/>
      <c r="R134" s="55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48">
        <f t="shared" si="9"/>
        <v>0</v>
      </c>
      <c r="AS134" s="22" t="s">
        <v>434</v>
      </c>
      <c r="AT134" s="22">
        <v>503099</v>
      </c>
      <c r="AU134" s="32"/>
      <c r="AV134" s="22">
        <f t="shared" si="10"/>
        <v>0</v>
      </c>
      <c r="AW134" s="37"/>
      <c r="AX134" s="37"/>
      <c r="AY134" s="37"/>
      <c r="AZ134" s="37"/>
      <c r="BA134" s="37"/>
      <c r="BB134" s="37"/>
      <c r="BC134" s="37"/>
      <c r="BD134" s="37"/>
      <c r="BE134" s="29">
        <f t="shared" si="11"/>
        <v>0</v>
      </c>
    </row>
    <row r="135" spans="4:57" x14ac:dyDescent="0.35">
      <c r="D135" s="22" t="s">
        <v>435</v>
      </c>
      <c r="E135" s="32"/>
      <c r="F135" s="46"/>
      <c r="G135" s="33"/>
      <c r="I135" s="22" t="s">
        <v>435</v>
      </c>
      <c r="J135" s="32"/>
      <c r="K135" s="34"/>
      <c r="L135" s="32"/>
      <c r="M135" s="32"/>
      <c r="N135" s="37"/>
      <c r="P135" s="26" t="s">
        <v>435</v>
      </c>
      <c r="Q135" s="51"/>
      <c r="R135" s="52"/>
      <c r="S135" s="52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25">
        <f t="shared" si="9"/>
        <v>0</v>
      </c>
      <c r="AS135" s="22" t="s">
        <v>435</v>
      </c>
      <c r="AT135" s="22">
        <v>503099</v>
      </c>
      <c r="AU135" s="32"/>
      <c r="AV135" s="22">
        <f t="shared" si="10"/>
        <v>0</v>
      </c>
      <c r="AW135" s="37"/>
      <c r="AX135" s="37"/>
      <c r="AY135" s="37"/>
      <c r="AZ135" s="37"/>
      <c r="BA135" s="37"/>
      <c r="BB135" s="37"/>
      <c r="BC135" s="37"/>
      <c r="BD135" s="37"/>
      <c r="BE135" s="29">
        <f t="shared" si="11"/>
        <v>0</v>
      </c>
    </row>
    <row r="136" spans="4:57" x14ac:dyDescent="0.35">
      <c r="D136" s="22" t="s">
        <v>436</v>
      </c>
      <c r="E136" s="32"/>
      <c r="F136" s="46"/>
      <c r="G136" s="33"/>
      <c r="I136" s="22" t="s">
        <v>436</v>
      </c>
      <c r="J136" s="32"/>
      <c r="K136" s="34"/>
      <c r="L136" s="32"/>
      <c r="M136" s="32"/>
      <c r="N136" s="37"/>
      <c r="P136" s="47" t="s">
        <v>436</v>
      </c>
      <c r="Q136" s="54"/>
      <c r="R136" s="55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48">
        <f t="shared" si="9"/>
        <v>0</v>
      </c>
      <c r="AS136" s="22" t="s">
        <v>436</v>
      </c>
      <c r="AT136" s="22">
        <v>503099</v>
      </c>
      <c r="AU136" s="32"/>
      <c r="AV136" s="22">
        <f t="shared" si="10"/>
        <v>0</v>
      </c>
      <c r="AW136" s="37"/>
      <c r="AX136" s="37"/>
      <c r="AY136" s="37"/>
      <c r="AZ136" s="37"/>
      <c r="BA136" s="37"/>
      <c r="BB136" s="37"/>
      <c r="BC136" s="37"/>
      <c r="BD136" s="37"/>
      <c r="BE136" s="29">
        <f t="shared" si="11"/>
        <v>0</v>
      </c>
    </row>
    <row r="137" spans="4:57" x14ac:dyDescent="0.35">
      <c r="D137" s="22" t="s">
        <v>437</v>
      </c>
      <c r="E137" s="32"/>
      <c r="F137" s="46"/>
      <c r="G137" s="33"/>
      <c r="I137" s="22" t="s">
        <v>437</v>
      </c>
      <c r="J137" s="32"/>
      <c r="K137" s="34"/>
      <c r="L137" s="32"/>
      <c r="M137" s="32"/>
      <c r="N137" s="37"/>
      <c r="P137" s="26" t="s">
        <v>437</v>
      </c>
      <c r="Q137" s="51"/>
      <c r="R137" s="52"/>
      <c r="S137" s="52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25">
        <f t="shared" ref="AQ137:AQ168" si="12">$R$8*R137+$S$8*S137+$T$8*T137+$U$8*U137+$V$8*V137+$W$8*W137+$X$8*X137+$Y$8*Y137+$Z$8*Z137+$AA$8*AA137+$AB$8*AB137+$AC$8*AC137+$AD$8*AD137+$AE$8*AE137+$AF$8*AF137+$AG$8*AG137+$AH$8*AH137+$AI$8*AI137+$AJ$8*AJ137+$AP$8*AP137+$AK$8*AK137+$AL$8*AL137+$AM$8*AM137+$AN$8*AN137+$AO$8*AO137</f>
        <v>0</v>
      </c>
      <c r="AS137" s="22" t="s">
        <v>437</v>
      </c>
      <c r="AT137" s="22">
        <v>503099</v>
      </c>
      <c r="AU137" s="32"/>
      <c r="AV137" s="22">
        <f t="shared" ref="AV137:AV158" si="13">AQ137</f>
        <v>0</v>
      </c>
      <c r="AW137" s="37"/>
      <c r="AX137" s="37"/>
      <c r="AY137" s="37"/>
      <c r="AZ137" s="37"/>
      <c r="BA137" s="37"/>
      <c r="BB137" s="37"/>
      <c r="BC137" s="37"/>
      <c r="BD137" s="37"/>
      <c r="BE137" s="29">
        <f t="shared" ref="BE137:BE168" si="14">AV137+AX137+AZ137+BB137+BD137</f>
        <v>0</v>
      </c>
    </row>
    <row r="138" spans="4:57" x14ac:dyDescent="0.35">
      <c r="D138" s="22" t="s">
        <v>438</v>
      </c>
      <c r="E138" s="32"/>
      <c r="F138" s="46"/>
      <c r="G138" s="33"/>
      <c r="I138" s="22" t="s">
        <v>438</v>
      </c>
      <c r="J138" s="32"/>
      <c r="K138" s="34"/>
      <c r="L138" s="32"/>
      <c r="M138" s="32"/>
      <c r="N138" s="37"/>
      <c r="P138" s="47" t="s">
        <v>438</v>
      </c>
      <c r="Q138" s="54"/>
      <c r="R138" s="55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48">
        <f t="shared" si="12"/>
        <v>0</v>
      </c>
      <c r="AS138" s="22" t="s">
        <v>438</v>
      </c>
      <c r="AT138" s="22">
        <v>503099</v>
      </c>
      <c r="AU138" s="32"/>
      <c r="AV138" s="22">
        <f t="shared" si="13"/>
        <v>0</v>
      </c>
      <c r="AW138" s="37"/>
      <c r="AX138" s="37"/>
      <c r="AY138" s="37"/>
      <c r="AZ138" s="37"/>
      <c r="BA138" s="37"/>
      <c r="BB138" s="37"/>
      <c r="BC138" s="37"/>
      <c r="BD138" s="37"/>
      <c r="BE138" s="29">
        <f t="shared" si="14"/>
        <v>0</v>
      </c>
    </row>
    <row r="139" spans="4:57" x14ac:dyDescent="0.35">
      <c r="D139" s="22" t="s">
        <v>439</v>
      </c>
      <c r="E139" s="32"/>
      <c r="F139" s="46"/>
      <c r="G139" s="33"/>
      <c r="I139" s="22" t="s">
        <v>439</v>
      </c>
      <c r="J139" s="32"/>
      <c r="K139" s="34"/>
      <c r="L139" s="32"/>
      <c r="M139" s="32"/>
      <c r="N139" s="37"/>
      <c r="P139" s="26" t="s">
        <v>439</v>
      </c>
      <c r="Q139" s="51"/>
      <c r="R139" s="52"/>
      <c r="S139" s="52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25">
        <f t="shared" si="12"/>
        <v>0</v>
      </c>
      <c r="AS139" s="22" t="s">
        <v>439</v>
      </c>
      <c r="AT139" s="22">
        <v>503099</v>
      </c>
      <c r="AU139" s="32"/>
      <c r="AV139" s="22">
        <f t="shared" si="13"/>
        <v>0</v>
      </c>
      <c r="AW139" s="37"/>
      <c r="AX139" s="37"/>
      <c r="AY139" s="37"/>
      <c r="AZ139" s="37"/>
      <c r="BA139" s="37"/>
      <c r="BB139" s="37"/>
      <c r="BC139" s="37"/>
      <c r="BD139" s="37"/>
      <c r="BE139" s="29">
        <f t="shared" si="14"/>
        <v>0</v>
      </c>
    </row>
    <row r="140" spans="4:57" x14ac:dyDescent="0.35">
      <c r="D140" s="22" t="s">
        <v>440</v>
      </c>
      <c r="E140" s="32"/>
      <c r="F140" s="46"/>
      <c r="G140" s="33"/>
      <c r="I140" s="22" t="s">
        <v>440</v>
      </c>
      <c r="J140" s="32"/>
      <c r="K140" s="34"/>
      <c r="L140" s="32"/>
      <c r="M140" s="32"/>
      <c r="N140" s="37"/>
      <c r="P140" s="47" t="s">
        <v>440</v>
      </c>
      <c r="Q140" s="54"/>
      <c r="R140" s="55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48">
        <f t="shared" si="12"/>
        <v>0</v>
      </c>
      <c r="AS140" s="22" t="s">
        <v>440</v>
      </c>
      <c r="AT140" s="22">
        <v>503099</v>
      </c>
      <c r="AU140" s="32"/>
      <c r="AV140" s="22">
        <f t="shared" si="13"/>
        <v>0</v>
      </c>
      <c r="AW140" s="37"/>
      <c r="AX140" s="37"/>
      <c r="AY140" s="37"/>
      <c r="AZ140" s="37"/>
      <c r="BA140" s="37"/>
      <c r="BB140" s="37"/>
      <c r="BC140" s="37"/>
      <c r="BD140" s="37"/>
      <c r="BE140" s="29">
        <f t="shared" si="14"/>
        <v>0</v>
      </c>
    </row>
    <row r="141" spans="4:57" x14ac:dyDescent="0.35">
      <c r="D141" s="22" t="s">
        <v>441</v>
      </c>
      <c r="E141" s="32"/>
      <c r="F141" s="46"/>
      <c r="G141" s="33"/>
      <c r="I141" s="22" t="s">
        <v>441</v>
      </c>
      <c r="J141" s="32"/>
      <c r="K141" s="34"/>
      <c r="L141" s="32"/>
      <c r="M141" s="32"/>
      <c r="N141" s="37"/>
      <c r="P141" s="26" t="s">
        <v>441</v>
      </c>
      <c r="Q141" s="51"/>
      <c r="R141" s="52"/>
      <c r="S141" s="52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25">
        <f t="shared" si="12"/>
        <v>0</v>
      </c>
      <c r="AS141" s="22" t="s">
        <v>441</v>
      </c>
      <c r="AT141" s="22">
        <v>503099</v>
      </c>
      <c r="AU141" s="32"/>
      <c r="AV141" s="22">
        <f t="shared" si="13"/>
        <v>0</v>
      </c>
      <c r="AW141" s="37"/>
      <c r="AX141" s="37"/>
      <c r="AY141" s="37"/>
      <c r="AZ141" s="37"/>
      <c r="BA141" s="37"/>
      <c r="BB141" s="37"/>
      <c r="BC141" s="37"/>
      <c r="BD141" s="37"/>
      <c r="BE141" s="29">
        <f t="shared" si="14"/>
        <v>0</v>
      </c>
    </row>
    <row r="142" spans="4:57" x14ac:dyDescent="0.35">
      <c r="D142" s="22" t="s">
        <v>442</v>
      </c>
      <c r="E142" s="32"/>
      <c r="F142" s="46"/>
      <c r="G142" s="33"/>
      <c r="I142" s="22" t="s">
        <v>442</v>
      </c>
      <c r="J142" s="32"/>
      <c r="K142" s="34"/>
      <c r="L142" s="32"/>
      <c r="M142" s="32"/>
      <c r="N142" s="37"/>
      <c r="P142" s="47" t="s">
        <v>442</v>
      </c>
      <c r="Q142" s="54"/>
      <c r="R142" s="55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48">
        <f t="shared" si="12"/>
        <v>0</v>
      </c>
      <c r="AS142" s="22" t="s">
        <v>442</v>
      </c>
      <c r="AT142" s="22">
        <v>503099</v>
      </c>
      <c r="AU142" s="32"/>
      <c r="AV142" s="22">
        <f t="shared" si="13"/>
        <v>0</v>
      </c>
      <c r="AW142" s="37"/>
      <c r="AX142" s="37"/>
      <c r="AY142" s="37"/>
      <c r="AZ142" s="37"/>
      <c r="BA142" s="37"/>
      <c r="BB142" s="37"/>
      <c r="BC142" s="37"/>
      <c r="BD142" s="37"/>
      <c r="BE142" s="29">
        <f t="shared" si="14"/>
        <v>0</v>
      </c>
    </row>
    <row r="143" spans="4:57" x14ac:dyDescent="0.35">
      <c r="D143" s="22" t="s">
        <v>443</v>
      </c>
      <c r="E143" s="32"/>
      <c r="F143" s="46"/>
      <c r="G143" s="33"/>
      <c r="I143" s="22" t="s">
        <v>443</v>
      </c>
      <c r="J143" s="32"/>
      <c r="K143" s="34"/>
      <c r="L143" s="32"/>
      <c r="M143" s="32"/>
      <c r="N143" s="37"/>
      <c r="P143" s="26" t="s">
        <v>443</v>
      </c>
      <c r="Q143" s="51"/>
      <c r="R143" s="52"/>
      <c r="S143" s="52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25">
        <f t="shared" si="12"/>
        <v>0</v>
      </c>
      <c r="AS143" s="22" t="s">
        <v>443</v>
      </c>
      <c r="AT143" s="22">
        <v>503099</v>
      </c>
      <c r="AU143" s="32"/>
      <c r="AV143" s="22">
        <f t="shared" si="13"/>
        <v>0</v>
      </c>
      <c r="AW143" s="37"/>
      <c r="AX143" s="37"/>
      <c r="AY143" s="37"/>
      <c r="AZ143" s="37"/>
      <c r="BA143" s="37"/>
      <c r="BB143" s="37"/>
      <c r="BC143" s="37"/>
      <c r="BD143" s="37"/>
      <c r="BE143" s="29">
        <f t="shared" si="14"/>
        <v>0</v>
      </c>
    </row>
    <row r="144" spans="4:57" x14ac:dyDescent="0.35">
      <c r="D144" s="22" t="s">
        <v>444</v>
      </c>
      <c r="E144" s="32"/>
      <c r="F144" s="46"/>
      <c r="G144" s="33"/>
      <c r="I144" s="22" t="s">
        <v>444</v>
      </c>
      <c r="J144" s="32"/>
      <c r="K144" s="34"/>
      <c r="L144" s="32"/>
      <c r="M144" s="32"/>
      <c r="N144" s="37"/>
      <c r="P144" s="47" t="s">
        <v>444</v>
      </c>
      <c r="Q144" s="54"/>
      <c r="R144" s="55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48">
        <f t="shared" si="12"/>
        <v>0</v>
      </c>
      <c r="AS144" s="22" t="s">
        <v>444</v>
      </c>
      <c r="AT144" s="22">
        <v>503099</v>
      </c>
      <c r="AU144" s="32"/>
      <c r="AV144" s="22">
        <f t="shared" si="13"/>
        <v>0</v>
      </c>
      <c r="AW144" s="37"/>
      <c r="AX144" s="37"/>
      <c r="AY144" s="37"/>
      <c r="AZ144" s="37"/>
      <c r="BA144" s="37"/>
      <c r="BB144" s="37"/>
      <c r="BC144" s="37"/>
      <c r="BD144" s="37"/>
      <c r="BE144" s="29">
        <f t="shared" si="14"/>
        <v>0</v>
      </c>
    </row>
    <row r="145" spans="4:57" x14ac:dyDescent="0.35">
      <c r="D145" s="22" t="s">
        <v>445</v>
      </c>
      <c r="E145" s="32"/>
      <c r="F145" s="46"/>
      <c r="G145" s="33"/>
      <c r="I145" s="22" t="s">
        <v>445</v>
      </c>
      <c r="J145" s="32"/>
      <c r="K145" s="34"/>
      <c r="L145" s="32"/>
      <c r="M145" s="32"/>
      <c r="N145" s="37"/>
      <c r="P145" s="26" t="s">
        <v>445</v>
      </c>
      <c r="Q145" s="51"/>
      <c r="R145" s="52"/>
      <c r="S145" s="52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25">
        <f t="shared" si="12"/>
        <v>0</v>
      </c>
      <c r="AS145" s="22" t="s">
        <v>445</v>
      </c>
      <c r="AT145" s="22">
        <v>503099</v>
      </c>
      <c r="AU145" s="32"/>
      <c r="AV145" s="22">
        <f t="shared" si="13"/>
        <v>0</v>
      </c>
      <c r="AW145" s="37"/>
      <c r="AX145" s="37"/>
      <c r="AY145" s="37"/>
      <c r="AZ145" s="37"/>
      <c r="BA145" s="37"/>
      <c r="BB145" s="37"/>
      <c r="BC145" s="37"/>
      <c r="BD145" s="37"/>
      <c r="BE145" s="29">
        <f t="shared" si="14"/>
        <v>0</v>
      </c>
    </row>
    <row r="146" spans="4:57" x14ac:dyDescent="0.35">
      <c r="D146" s="22" t="s">
        <v>446</v>
      </c>
      <c r="E146" s="32"/>
      <c r="F146" s="46"/>
      <c r="G146" s="33"/>
      <c r="I146" s="22" t="s">
        <v>446</v>
      </c>
      <c r="J146" s="32"/>
      <c r="K146" s="34"/>
      <c r="L146" s="32"/>
      <c r="M146" s="32"/>
      <c r="N146" s="37"/>
      <c r="P146" s="47" t="s">
        <v>446</v>
      </c>
      <c r="Q146" s="54"/>
      <c r="R146" s="55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48">
        <f t="shared" si="12"/>
        <v>0</v>
      </c>
      <c r="AS146" s="22" t="s">
        <v>446</v>
      </c>
      <c r="AT146" s="22">
        <v>503099</v>
      </c>
      <c r="AU146" s="32"/>
      <c r="AV146" s="22">
        <f t="shared" si="13"/>
        <v>0</v>
      </c>
      <c r="AW146" s="37"/>
      <c r="AX146" s="37"/>
      <c r="AY146" s="37"/>
      <c r="AZ146" s="37"/>
      <c r="BA146" s="37"/>
      <c r="BB146" s="37"/>
      <c r="BC146" s="37"/>
      <c r="BD146" s="37"/>
      <c r="BE146" s="29">
        <f t="shared" si="14"/>
        <v>0</v>
      </c>
    </row>
    <row r="147" spans="4:57" x14ac:dyDescent="0.35">
      <c r="D147" s="22" t="s">
        <v>447</v>
      </c>
      <c r="E147" s="32"/>
      <c r="F147" s="46"/>
      <c r="G147" s="33"/>
      <c r="I147" s="22" t="s">
        <v>447</v>
      </c>
      <c r="J147" s="32"/>
      <c r="K147" s="34"/>
      <c r="L147" s="32"/>
      <c r="M147" s="32"/>
      <c r="N147" s="37"/>
      <c r="P147" s="26" t="s">
        <v>447</v>
      </c>
      <c r="Q147" s="51"/>
      <c r="R147" s="52"/>
      <c r="S147" s="52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25">
        <f t="shared" si="12"/>
        <v>0</v>
      </c>
      <c r="AS147" s="22" t="s">
        <v>447</v>
      </c>
      <c r="AT147" s="22">
        <v>503099</v>
      </c>
      <c r="AU147" s="32"/>
      <c r="AV147" s="22">
        <f t="shared" si="13"/>
        <v>0</v>
      </c>
      <c r="AW147" s="37"/>
      <c r="AX147" s="37"/>
      <c r="AY147" s="37"/>
      <c r="AZ147" s="37"/>
      <c r="BA147" s="37"/>
      <c r="BB147" s="37"/>
      <c r="BC147" s="37"/>
      <c r="BD147" s="37"/>
      <c r="BE147" s="29">
        <f t="shared" si="14"/>
        <v>0</v>
      </c>
    </row>
    <row r="148" spans="4:57" x14ac:dyDescent="0.35">
      <c r="D148" s="22" t="s">
        <v>448</v>
      </c>
      <c r="E148" s="32"/>
      <c r="F148" s="46"/>
      <c r="G148" s="33"/>
      <c r="I148" s="22" t="s">
        <v>448</v>
      </c>
      <c r="J148" s="32"/>
      <c r="K148" s="34"/>
      <c r="L148" s="32"/>
      <c r="M148" s="32"/>
      <c r="N148" s="37"/>
      <c r="P148" s="47" t="s">
        <v>448</v>
      </c>
      <c r="Q148" s="54"/>
      <c r="R148" s="55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48">
        <f t="shared" si="12"/>
        <v>0</v>
      </c>
      <c r="AS148" s="22" t="s">
        <v>448</v>
      </c>
      <c r="AT148" s="22">
        <v>503099</v>
      </c>
      <c r="AU148" s="32"/>
      <c r="AV148" s="22">
        <f t="shared" si="13"/>
        <v>0</v>
      </c>
      <c r="AW148" s="37"/>
      <c r="AX148" s="37"/>
      <c r="AY148" s="37"/>
      <c r="AZ148" s="37"/>
      <c r="BA148" s="37"/>
      <c r="BB148" s="37"/>
      <c r="BC148" s="37"/>
      <c r="BD148" s="37"/>
      <c r="BE148" s="29">
        <f t="shared" si="14"/>
        <v>0</v>
      </c>
    </row>
    <row r="149" spans="4:57" x14ac:dyDescent="0.35">
      <c r="D149" s="22" t="s">
        <v>449</v>
      </c>
      <c r="E149" s="32"/>
      <c r="F149" s="46"/>
      <c r="G149" s="33"/>
      <c r="I149" s="22" t="s">
        <v>449</v>
      </c>
      <c r="J149" s="32"/>
      <c r="K149" s="34"/>
      <c r="L149" s="32"/>
      <c r="M149" s="32"/>
      <c r="N149" s="37"/>
      <c r="P149" s="26" t="s">
        <v>449</v>
      </c>
      <c r="Q149" s="51"/>
      <c r="R149" s="52"/>
      <c r="S149" s="52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25">
        <f t="shared" si="12"/>
        <v>0</v>
      </c>
      <c r="AS149" s="22" t="s">
        <v>449</v>
      </c>
      <c r="AT149" s="22">
        <v>503099</v>
      </c>
      <c r="AU149" s="32"/>
      <c r="AV149" s="22">
        <f t="shared" si="13"/>
        <v>0</v>
      </c>
      <c r="AW149" s="37"/>
      <c r="AX149" s="37"/>
      <c r="AY149" s="37"/>
      <c r="AZ149" s="37"/>
      <c r="BA149" s="37"/>
      <c r="BB149" s="37"/>
      <c r="BC149" s="37"/>
      <c r="BD149" s="37"/>
      <c r="BE149" s="29">
        <f t="shared" si="14"/>
        <v>0</v>
      </c>
    </row>
    <row r="150" spans="4:57" x14ac:dyDescent="0.35">
      <c r="D150" s="22" t="s">
        <v>450</v>
      </c>
      <c r="E150" s="32"/>
      <c r="F150" s="46"/>
      <c r="G150" s="33"/>
      <c r="I150" s="22" t="s">
        <v>450</v>
      </c>
      <c r="J150" s="32"/>
      <c r="K150" s="34"/>
      <c r="L150" s="32"/>
      <c r="M150" s="32"/>
      <c r="N150" s="37"/>
      <c r="P150" s="47" t="s">
        <v>450</v>
      </c>
      <c r="Q150" s="54"/>
      <c r="R150" s="55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48">
        <f t="shared" si="12"/>
        <v>0</v>
      </c>
      <c r="AS150" s="22" t="s">
        <v>450</v>
      </c>
      <c r="AT150" s="22">
        <v>503099</v>
      </c>
      <c r="AU150" s="32"/>
      <c r="AV150" s="22">
        <f t="shared" si="13"/>
        <v>0</v>
      </c>
      <c r="AW150" s="37"/>
      <c r="AX150" s="37"/>
      <c r="AY150" s="37"/>
      <c r="AZ150" s="37"/>
      <c r="BA150" s="37"/>
      <c r="BB150" s="37"/>
      <c r="BC150" s="37"/>
      <c r="BD150" s="37"/>
      <c r="BE150" s="29">
        <f t="shared" si="14"/>
        <v>0</v>
      </c>
    </row>
    <row r="151" spans="4:57" x14ac:dyDescent="0.35">
      <c r="D151" s="22" t="s">
        <v>451</v>
      </c>
      <c r="E151" s="32"/>
      <c r="F151" s="46"/>
      <c r="G151" s="33"/>
      <c r="I151" s="22" t="s">
        <v>451</v>
      </c>
      <c r="J151" s="32"/>
      <c r="K151" s="34"/>
      <c r="L151" s="32"/>
      <c r="M151" s="32"/>
      <c r="N151" s="37"/>
      <c r="P151" s="26" t="s">
        <v>451</v>
      </c>
      <c r="Q151" s="51"/>
      <c r="R151" s="52"/>
      <c r="S151" s="52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25">
        <f t="shared" si="12"/>
        <v>0</v>
      </c>
      <c r="AS151" s="22" t="s">
        <v>451</v>
      </c>
      <c r="AT151" s="22">
        <v>503099</v>
      </c>
      <c r="AU151" s="32"/>
      <c r="AV151" s="22">
        <f t="shared" si="13"/>
        <v>0</v>
      </c>
      <c r="AW151" s="37"/>
      <c r="AX151" s="37"/>
      <c r="AY151" s="37"/>
      <c r="AZ151" s="37"/>
      <c r="BA151" s="37"/>
      <c r="BB151" s="37"/>
      <c r="BC151" s="37"/>
      <c r="BD151" s="37"/>
      <c r="BE151" s="29">
        <f t="shared" si="14"/>
        <v>0</v>
      </c>
    </row>
    <row r="152" spans="4:57" x14ac:dyDescent="0.35">
      <c r="D152" s="22" t="s">
        <v>452</v>
      </c>
      <c r="E152" s="32"/>
      <c r="F152" s="46"/>
      <c r="G152" s="33"/>
      <c r="I152" s="22" t="s">
        <v>452</v>
      </c>
      <c r="J152" s="32"/>
      <c r="K152" s="34"/>
      <c r="L152" s="32"/>
      <c r="M152" s="32"/>
      <c r="N152" s="37"/>
      <c r="P152" s="47" t="s">
        <v>452</v>
      </c>
      <c r="Q152" s="54"/>
      <c r="R152" s="55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48">
        <f t="shared" si="12"/>
        <v>0</v>
      </c>
      <c r="AS152" s="22" t="s">
        <v>452</v>
      </c>
      <c r="AT152" s="22">
        <v>503099</v>
      </c>
      <c r="AU152" s="32"/>
      <c r="AV152" s="22">
        <f t="shared" si="13"/>
        <v>0</v>
      </c>
      <c r="AW152" s="37"/>
      <c r="AX152" s="37"/>
      <c r="AY152" s="37"/>
      <c r="AZ152" s="37"/>
      <c r="BA152" s="37"/>
      <c r="BB152" s="37"/>
      <c r="BC152" s="37"/>
      <c r="BD152" s="37"/>
      <c r="BE152" s="29">
        <f t="shared" si="14"/>
        <v>0</v>
      </c>
    </row>
    <row r="153" spans="4:57" x14ac:dyDescent="0.35">
      <c r="D153" s="22" t="s">
        <v>453</v>
      </c>
      <c r="E153" s="32"/>
      <c r="F153" s="46"/>
      <c r="G153" s="33"/>
      <c r="I153" s="22" t="s">
        <v>453</v>
      </c>
      <c r="J153" s="32"/>
      <c r="K153" s="34"/>
      <c r="L153" s="32"/>
      <c r="M153" s="32"/>
      <c r="N153" s="37"/>
      <c r="P153" s="26" t="s">
        <v>453</v>
      </c>
      <c r="Q153" s="51"/>
      <c r="R153" s="52"/>
      <c r="S153" s="52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25">
        <f t="shared" si="12"/>
        <v>0</v>
      </c>
      <c r="AS153" s="22" t="s">
        <v>453</v>
      </c>
      <c r="AT153" s="22">
        <v>503099</v>
      </c>
      <c r="AU153" s="32"/>
      <c r="AV153" s="22">
        <f t="shared" si="13"/>
        <v>0</v>
      </c>
      <c r="AW153" s="37"/>
      <c r="AX153" s="37"/>
      <c r="AY153" s="37"/>
      <c r="AZ153" s="37"/>
      <c r="BA153" s="37"/>
      <c r="BB153" s="37"/>
      <c r="BC153" s="37"/>
      <c r="BD153" s="37"/>
      <c r="BE153" s="29">
        <f t="shared" si="14"/>
        <v>0</v>
      </c>
    </row>
    <row r="154" spans="4:57" x14ac:dyDescent="0.35">
      <c r="D154" s="22" t="s">
        <v>454</v>
      </c>
      <c r="E154" s="32"/>
      <c r="F154" s="46"/>
      <c r="G154" s="33"/>
      <c r="I154" s="22" t="s">
        <v>454</v>
      </c>
      <c r="J154" s="32"/>
      <c r="K154" s="34"/>
      <c r="L154" s="32"/>
      <c r="M154" s="32"/>
      <c r="N154" s="37"/>
      <c r="P154" s="47" t="s">
        <v>454</v>
      </c>
      <c r="Q154" s="54"/>
      <c r="R154" s="55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48">
        <f t="shared" si="12"/>
        <v>0</v>
      </c>
      <c r="AS154" s="22" t="s">
        <v>454</v>
      </c>
      <c r="AT154" s="22">
        <v>503099</v>
      </c>
      <c r="AU154" s="32"/>
      <c r="AV154" s="22">
        <f t="shared" si="13"/>
        <v>0</v>
      </c>
      <c r="AW154" s="37"/>
      <c r="AX154" s="37"/>
      <c r="AY154" s="37"/>
      <c r="AZ154" s="37"/>
      <c r="BA154" s="37"/>
      <c r="BB154" s="37"/>
      <c r="BC154" s="37"/>
      <c r="BD154" s="37"/>
      <c r="BE154" s="29">
        <f t="shared" si="14"/>
        <v>0</v>
      </c>
    </row>
    <row r="155" spans="4:57" x14ac:dyDescent="0.35">
      <c r="D155" s="22" t="s">
        <v>455</v>
      </c>
      <c r="E155" s="32"/>
      <c r="F155" s="46"/>
      <c r="G155" s="33"/>
      <c r="I155" s="22" t="s">
        <v>455</v>
      </c>
      <c r="J155" s="32"/>
      <c r="K155" s="34"/>
      <c r="L155" s="32"/>
      <c r="M155" s="32"/>
      <c r="N155" s="37"/>
      <c r="P155" s="26" t="s">
        <v>455</v>
      </c>
      <c r="Q155" s="51"/>
      <c r="R155" s="52"/>
      <c r="S155" s="52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25">
        <f t="shared" si="12"/>
        <v>0</v>
      </c>
      <c r="AS155" s="22" t="s">
        <v>455</v>
      </c>
      <c r="AT155" s="22">
        <v>503099</v>
      </c>
      <c r="AU155" s="32"/>
      <c r="AV155" s="22">
        <f t="shared" si="13"/>
        <v>0</v>
      </c>
      <c r="AW155" s="37"/>
      <c r="AX155" s="37"/>
      <c r="AY155" s="37"/>
      <c r="AZ155" s="37"/>
      <c r="BA155" s="37"/>
      <c r="BB155" s="37"/>
      <c r="BC155" s="37"/>
      <c r="BD155" s="37"/>
      <c r="BE155" s="29">
        <f t="shared" si="14"/>
        <v>0</v>
      </c>
    </row>
    <row r="156" spans="4:57" x14ac:dyDescent="0.35">
      <c r="D156" s="22" t="s">
        <v>456</v>
      </c>
      <c r="E156" s="32"/>
      <c r="F156" s="46"/>
      <c r="G156" s="33"/>
      <c r="I156" s="22" t="s">
        <v>456</v>
      </c>
      <c r="J156" s="32"/>
      <c r="K156" s="34"/>
      <c r="L156" s="32"/>
      <c r="M156" s="32"/>
      <c r="N156" s="37"/>
      <c r="P156" s="47" t="s">
        <v>456</v>
      </c>
      <c r="Q156" s="54"/>
      <c r="R156" s="55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48">
        <f t="shared" si="12"/>
        <v>0</v>
      </c>
      <c r="AS156" s="22" t="s">
        <v>456</v>
      </c>
      <c r="AT156" s="22">
        <v>503099</v>
      </c>
      <c r="AU156" s="32"/>
      <c r="AV156" s="22">
        <f t="shared" si="13"/>
        <v>0</v>
      </c>
      <c r="AW156" s="37"/>
      <c r="AX156" s="37"/>
      <c r="AY156" s="37"/>
      <c r="AZ156" s="37"/>
      <c r="BA156" s="37"/>
      <c r="BB156" s="37"/>
      <c r="BC156" s="37"/>
      <c r="BD156" s="37"/>
      <c r="BE156" s="29">
        <f t="shared" si="14"/>
        <v>0</v>
      </c>
    </row>
    <row r="157" spans="4:57" x14ac:dyDescent="0.35">
      <c r="D157" s="22" t="s">
        <v>457</v>
      </c>
      <c r="E157" s="32"/>
      <c r="F157" s="46"/>
      <c r="G157" s="33"/>
      <c r="I157" s="22" t="s">
        <v>457</v>
      </c>
      <c r="J157" s="32"/>
      <c r="K157" s="34"/>
      <c r="L157" s="32"/>
      <c r="M157" s="32"/>
      <c r="N157" s="37"/>
      <c r="P157" s="26" t="s">
        <v>457</v>
      </c>
      <c r="Q157" s="51"/>
      <c r="R157" s="52"/>
      <c r="S157" s="52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25">
        <f t="shared" si="12"/>
        <v>0</v>
      </c>
      <c r="AS157" s="22" t="s">
        <v>457</v>
      </c>
      <c r="AT157" s="22">
        <v>503099</v>
      </c>
      <c r="AU157" s="32"/>
      <c r="AV157" s="22">
        <f t="shared" si="13"/>
        <v>0</v>
      </c>
      <c r="AW157" s="37"/>
      <c r="AX157" s="37"/>
      <c r="AY157" s="37"/>
      <c r="AZ157" s="37"/>
      <c r="BA157" s="37"/>
      <c r="BB157" s="37"/>
      <c r="BC157" s="37"/>
      <c r="BD157" s="37"/>
      <c r="BE157" s="29">
        <f t="shared" si="14"/>
        <v>0</v>
      </c>
    </row>
    <row r="158" spans="4:57" x14ac:dyDescent="0.35">
      <c r="D158" s="22" t="s">
        <v>458</v>
      </c>
      <c r="E158" s="32"/>
      <c r="F158" s="46"/>
      <c r="G158" s="33"/>
      <c r="I158" s="22" t="s">
        <v>458</v>
      </c>
      <c r="J158" s="32"/>
      <c r="K158" s="34"/>
      <c r="L158" s="32"/>
      <c r="M158" s="32"/>
      <c r="N158" s="37"/>
      <c r="P158" s="47" t="s">
        <v>458</v>
      </c>
      <c r="Q158" s="54"/>
      <c r="R158" s="55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48">
        <f t="shared" si="12"/>
        <v>0</v>
      </c>
      <c r="AS158" s="22" t="s">
        <v>458</v>
      </c>
      <c r="AT158" s="22">
        <v>503099</v>
      </c>
      <c r="AU158" s="32"/>
      <c r="AV158" s="22">
        <f t="shared" si="13"/>
        <v>0</v>
      </c>
      <c r="AW158" s="37"/>
      <c r="AX158" s="37"/>
      <c r="AY158" s="37"/>
      <c r="AZ158" s="37"/>
      <c r="BA158" s="37"/>
      <c r="BB158" s="37"/>
      <c r="BC158" s="37"/>
      <c r="BD158" s="37"/>
      <c r="BE158" s="29">
        <f t="shared" si="14"/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Sisäinen lasku, monta asiakasta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Linnansaari, Jaakko T</dc:creator>
  <cp:lastModifiedBy>Fazeli, Elnaz</cp:lastModifiedBy>
  <dcterms:created xsi:type="dcterms:W3CDTF">2021-11-02T16:27:48Z</dcterms:created>
  <dcterms:modified xsi:type="dcterms:W3CDTF">2026-08-17T08:46:51Z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0x010100F8EDE2BF2615174EA6A6F64040977BA8</vt:lpwstr>
  </property>
</Properties>
</file>